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Звітність 2025\Вересень\"/>
    </mc:Choice>
  </mc:AlternateContent>
  <bookViews>
    <workbookView xWindow="0" yWindow="0" windowWidth="19200" windowHeight="11475"/>
  </bookViews>
  <sheets>
    <sheet name="Заг." sheetId="3" r:id="rId1"/>
    <sheet name="Солар Вест" sheetId="1" r:id="rId2"/>
    <sheet name="Будник" sheetId="2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1Excel_BuiltIn_Database_1_1">#REF!</definedName>
    <definedName name="_2Excel_BuiltIn_Print_Area_5_1">#REF!</definedName>
    <definedName name="_Hlk156713282_5">#REF!</definedName>
    <definedName name="Database" hidden="1">#REF!</definedName>
    <definedName name="Drage">#REF!</definedName>
    <definedName name="Drage_14">#REF!</definedName>
    <definedName name="Drage_2">#REF!</definedName>
    <definedName name="Drage_3">#REF!</definedName>
    <definedName name="Drage_6">#REF!</definedName>
    <definedName name="Drage_6_14">#REF!</definedName>
    <definedName name="Excel_BuiltIn__FilterDatabase_1">#REF!</definedName>
    <definedName name="Excel_BuiltIn__FilterDatabase_1_1">#REF!</definedName>
    <definedName name="Excel_BuiltIn__FilterDatabase_5">#REF!</definedName>
    <definedName name="Excel_BuiltIn__FilterDatabase_5_1">#REF!</definedName>
    <definedName name="Excel_BuiltIn__FilterDatabase_5_6">#REF!</definedName>
    <definedName name="Excel_BuiltIn_Database">#REF!</definedName>
    <definedName name="Excel_BuiltIn_Database_1">#REF!</definedName>
    <definedName name="Excel_BuiltIn_Database_2">#REF!</definedName>
    <definedName name="Excel_BuiltIn_Database_3">#REF!</definedName>
    <definedName name="Excel_BuiltIn_Print_Area_18">#REF!</definedName>
    <definedName name="Excel_BuiltIn_Print_Area_5">#REF!</definedName>
    <definedName name="Excel_BuiltIn_Print_Area_6">#REF!</definedName>
    <definedName name="g">'[1]Karamel Vyr Price'!$R$81:$R$84</definedName>
    <definedName name="g_3">'[1]Karamel Vyr Price'!$R$81:$R$84</definedName>
    <definedName name="g_5">'[1]Karamel Vyr Price'!$R$81:$R$84</definedName>
    <definedName name="Iris">#REF!</definedName>
    <definedName name="Iris_14">#REF!</definedName>
    <definedName name="Iris_2">#REF!</definedName>
    <definedName name="Iris_3">#REF!</definedName>
    <definedName name="Iris_6">#REF!</definedName>
    <definedName name="Iris_6_14">#REF!</definedName>
    <definedName name="Karamel">#REF!</definedName>
    <definedName name="Karamel_14">#REF!</definedName>
    <definedName name="Karamel_2">#REF!</definedName>
    <definedName name="Karamel_3">#REF!</definedName>
    <definedName name="Karamel_6">#REF!</definedName>
    <definedName name="Karamel_6_14">#REF!</definedName>
    <definedName name="KEKSY">'[2]Bisquet Plan Price'!$R$108:$R$110</definedName>
    <definedName name="KEKSY_3">#REF!</definedName>
    <definedName name="KEKSY_5">'[2]Bisquet Plan Price'!$R$108:$R$110</definedName>
    <definedName name="KEKSY_6">'[2]Bisquet Plan Price'!$R$108:$R$110</definedName>
    <definedName name="Konditer">'[2]Sweet Plan Price'!$R$66:$R$103</definedName>
    <definedName name="Konditer_3">#REF!</definedName>
    <definedName name="Konditer_5">'[2]Sweet Plan Price'!$R$66:$R$103</definedName>
    <definedName name="Konditer_6">'[2]Sweet Plan Price'!$R$66:$R$103</definedName>
    <definedName name="Marmelad">'[2]Sweet Plan Price'!$R$122:$R$127</definedName>
    <definedName name="Marmelad_3">#REF!</definedName>
    <definedName name="Marmelad_5">'[2]Sweet Plan Price'!$R$122:$R$127</definedName>
    <definedName name="Marmelad_6">'[2]Sweet Plan Price'!$R$122:$R$127</definedName>
    <definedName name="NEGLAZUR">'[2]Sweet Plan Price'!$R$110:$R$113</definedName>
    <definedName name="NEGLAZUR_3">#REF!</definedName>
    <definedName name="NEGLAZUR_5">'[2]Sweet Plan Price'!$R$110:$R$113</definedName>
    <definedName name="NEGLAZUR_6">'[2]Sweet Plan Price'!$R$110:$R$113</definedName>
    <definedName name="Print_Area" localSheetId="1">'Солар Вест'!$A$1:$BS$80</definedName>
    <definedName name="Pryami">#REF!</definedName>
    <definedName name="Pryami_14">#REF!</definedName>
    <definedName name="Pryami_2">#REF!</definedName>
    <definedName name="Pryami_3">#REF!</definedName>
    <definedName name="Pryami_5">#REF!</definedName>
    <definedName name="SHIDNI">'[2]Sweet Plan Price'!$R$119:$R$119</definedName>
    <definedName name="SHIDNI_3">#REF!</definedName>
    <definedName name="SHIDNI_5">'[2]Sweet Plan Price'!$R$119:$R$119</definedName>
    <definedName name="SHIDNI_6">'[2]Sweet Plan Price'!$R$119:$R$119</definedName>
    <definedName name="SHOKO">'[2]Sweet Plan Price'!$R$5:$R$60</definedName>
    <definedName name="SHOKO_3">#REF!</definedName>
    <definedName name="SHOKO_5">'[2]Sweet Plan Price'!$R$5:$R$60</definedName>
    <definedName name="SHOKO_6">'[2]Sweet Plan Price'!$R$5:$R$60</definedName>
    <definedName name="Torty">'[2]Bisquet Plan Price'!$R$5:$R$105</definedName>
    <definedName name="Torty_3">#REF!</definedName>
    <definedName name="Torty_5">'[2]Bisquet Plan Price'!$R$5:$R$105</definedName>
    <definedName name="Torty_6">'[2]Bisquet Plan Price'!$R$5:$R$105</definedName>
    <definedName name="VAFLYA">'[2]Sweet Plan Price'!$R$116</definedName>
    <definedName name="VAFLYA_3">#REF!</definedName>
    <definedName name="VAFLYA_5">'[2]Sweet Plan Price'!$R$116</definedName>
    <definedName name="VAFLYA_6">'[2]Sweet Plan Price'!$R$116</definedName>
    <definedName name="wwww">'[3]Unity  Fixed'!$E$38</definedName>
    <definedName name="ZHYR">'[2]Sweet Plan Price'!$R$63</definedName>
    <definedName name="ZHYR_3">#REF!</definedName>
    <definedName name="ZHYR_5">'[2]Sweet Plan Price'!$R$63</definedName>
    <definedName name="ZHYR_6">'[2]Sweet Plan Price'!$R$63</definedName>
    <definedName name="Zminni">#REF!</definedName>
    <definedName name="Zminni_2">#REF!</definedName>
    <definedName name="Zminni_3">#REF!</definedName>
    <definedName name="Zminni_5">#REF!</definedName>
    <definedName name="вага_стор">#REF!</definedName>
    <definedName name="вага_стор_1">#REF!</definedName>
    <definedName name="ЕE14">#REF!</definedName>
    <definedName name="ЕE14_2">#REF!</definedName>
    <definedName name="ЕE14_3">#REF!</definedName>
    <definedName name="ЕE14_5">#REF!</definedName>
    <definedName name="жид">#REF!</definedName>
    <definedName name="жид_цина">#REF!</definedName>
    <definedName name="к_сть_сума_Волинь">#REF!</definedName>
    <definedName name="к_сть_сума_за_межі">#REF!</definedName>
    <definedName name="маг">#REF!</definedName>
    <definedName name="пол">#REF!</definedName>
    <definedName name="рік_сума_Волинь">#REF!</definedName>
    <definedName name="рік_сума_за_межі">#REF!</definedName>
    <definedName name="св_2010">#REF!</definedName>
    <definedName name="св_2035">#REF!</definedName>
    <definedName name="св_2037">#REF!</definedName>
    <definedName name="св_2041">#REF!</definedName>
    <definedName name="СВ_2052">#REF!</definedName>
    <definedName name="СВ_2072">#REF!</definedName>
    <definedName name="св_24102">#REF!</definedName>
    <definedName name="св_2435">#REF!</definedName>
    <definedName name="св_2437">#REF!</definedName>
    <definedName name="св_2441">#REF!</definedName>
    <definedName name="св_2445">#REF!</definedName>
    <definedName name="св_2448">#REF!</definedName>
    <definedName name="св_2452">#REF!</definedName>
    <definedName name="св_2462">#REF!</definedName>
    <definedName name="св_2472">#REF!</definedName>
    <definedName name="св_2482">#REF!</definedName>
    <definedName name="св_2492">#REF!</definedName>
    <definedName name="ск10">#REF!</definedName>
    <definedName name="ск102">#REF!</definedName>
    <definedName name="ск112">#REF!</definedName>
    <definedName name="ск35">#REF!</definedName>
    <definedName name="ск37">#REF!</definedName>
    <definedName name="ск41">#REF!</definedName>
    <definedName name="ск45">#REF!</definedName>
    <definedName name="ск48">#REF!</definedName>
    <definedName name="ск52">#REF!</definedName>
    <definedName name="ск62">#REF!</definedName>
    <definedName name="ск62_1">#REF!</definedName>
    <definedName name="ск72">#REF!</definedName>
    <definedName name="ск72_1">#REF!</definedName>
    <definedName name="ск82">#REF!</definedName>
    <definedName name="ск92">#REF!</definedName>
    <definedName name="соб10">#REF!</definedName>
    <definedName name="соб102">#REF!</definedName>
    <definedName name="соб112">#REF!</definedName>
    <definedName name="соб122">#REF!</definedName>
    <definedName name="соб132">#REF!</definedName>
    <definedName name="соб142">#REF!</definedName>
    <definedName name="соб152">#REF!</definedName>
    <definedName name="соб162">#REF!</definedName>
    <definedName name="соб172">#REF!</definedName>
    <definedName name="соб182">#REF!</definedName>
    <definedName name="соб192">#REF!</definedName>
    <definedName name="соб200">#REF!</definedName>
    <definedName name="соб35">#REF!</definedName>
    <definedName name="соб35_1">#REF!</definedName>
    <definedName name="соб37">#REF!</definedName>
    <definedName name="соб41">#REF!</definedName>
    <definedName name="соб45">#REF!</definedName>
    <definedName name="соб48">#REF!</definedName>
    <definedName name="соб52">#REF!</definedName>
    <definedName name="соб62">#REF!</definedName>
    <definedName name="соб72">#REF!</definedName>
    <definedName name="соб82">#REF!</definedName>
    <definedName name="соб92">#REF!</definedName>
    <definedName name="тир_10">#REF!</definedName>
    <definedName name="тир_10_1">#REF!</definedName>
    <definedName name="тир_100">#REF!</definedName>
    <definedName name="тир_35">#REF!</definedName>
    <definedName name="тир_35_1">#REF!</definedName>
    <definedName name="тир_37">#REF!</definedName>
    <definedName name="тир_38">#REF!</definedName>
    <definedName name="тир_41">#REF!</definedName>
    <definedName name="тир_41_1">#REF!</definedName>
    <definedName name="тир_45">#REF!</definedName>
    <definedName name="тир_45_1">#REF!</definedName>
    <definedName name="тир_48">#REF!</definedName>
    <definedName name="тир_48_1">#REF!</definedName>
    <definedName name="тир_52">#REF!</definedName>
    <definedName name="тир_52_1">#REF!</definedName>
    <definedName name="тир_62">#REF!</definedName>
    <definedName name="тир_62_1">#REF!</definedName>
    <definedName name="тир_72">#REF!</definedName>
    <definedName name="тир_72_1">#REF!</definedName>
    <definedName name="тир_82">#REF!</definedName>
    <definedName name="тир_82_1">#REF!</definedName>
    <definedName name="тир_92">#REF!</definedName>
    <definedName name="тир_92_1">#REF!</definedName>
    <definedName name="тир100">[4]тиражі!#REF!</definedName>
    <definedName name="тир114">#REF!</definedName>
    <definedName name="тир140">#REF!</definedName>
    <definedName name="тир44">#REF!</definedName>
    <definedName name="тир50">[4]тиражі!#REF!</definedName>
    <definedName name="тир55">#REF!</definedName>
    <definedName name="тир76">#REF!</definedName>
    <definedName name="цина_паперу">#REF!</definedName>
    <definedName name="цина_паперу_1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69" i="3" l="1"/>
  <c r="BE69" i="3"/>
  <c r="BF68" i="3"/>
  <c r="BE68" i="3"/>
  <c r="BF67" i="3"/>
  <c r="BE67" i="3"/>
  <c r="BF66" i="3"/>
  <c r="BE66" i="3"/>
  <c r="BF65" i="3"/>
  <c r="BE65" i="3"/>
  <c r="BF64" i="3"/>
  <c r="BE64" i="3"/>
  <c r="BF63" i="3"/>
  <c r="BE63" i="3"/>
  <c r="BF62" i="3"/>
  <c r="BE62" i="3"/>
  <c r="BF61" i="3"/>
  <c r="BE61" i="3"/>
  <c r="BF60" i="3"/>
  <c r="BE60" i="3"/>
  <c r="BF59" i="3"/>
  <c r="BE59" i="3"/>
  <c r="BF58" i="3"/>
  <c r="BE58" i="3"/>
  <c r="BF57" i="3"/>
  <c r="BE57" i="3"/>
  <c r="BF56" i="3"/>
  <c r="BE56" i="3"/>
  <c r="BF55" i="3"/>
  <c r="BE55" i="3"/>
  <c r="BF54" i="3"/>
  <c r="BE54" i="3"/>
  <c r="BF53" i="3"/>
  <c r="BE53" i="3"/>
  <c r="BF52" i="3"/>
  <c r="BE52" i="3"/>
  <c r="BF51" i="3"/>
  <c r="BE51" i="3"/>
  <c r="BF50" i="3"/>
  <c r="BE50" i="3"/>
  <c r="BF49" i="3"/>
  <c r="BE49" i="3"/>
  <c r="BF48" i="3"/>
  <c r="BE48" i="3"/>
  <c r="BF47" i="3"/>
  <c r="BE47" i="3"/>
  <c r="BF46" i="3"/>
  <c r="BE46" i="3"/>
  <c r="BF45" i="3"/>
  <c r="BE45" i="3"/>
  <c r="BF44" i="3"/>
  <c r="BE44" i="3"/>
  <c r="BF43" i="3"/>
  <c r="BE43" i="3"/>
  <c r="BF42" i="3"/>
  <c r="BE42" i="3"/>
  <c r="BF41" i="3"/>
  <c r="BE41" i="3"/>
  <c r="BF40" i="3"/>
  <c r="BE40" i="3"/>
  <c r="BF39" i="3"/>
  <c r="BE39" i="3"/>
  <c r="BF38" i="3"/>
  <c r="BE38" i="3"/>
  <c r="BF37" i="3"/>
  <c r="BE37" i="3"/>
  <c r="BF36" i="3"/>
  <c r="BE36" i="3"/>
  <c r="BF35" i="3"/>
  <c r="BE35" i="3"/>
  <c r="BF34" i="3"/>
  <c r="BE34" i="3"/>
  <c r="BF33" i="3"/>
  <c r="BE33" i="3"/>
  <c r="BF32" i="3"/>
  <c r="BE32" i="3"/>
  <c r="BF29" i="3"/>
  <c r="BE29" i="3"/>
  <c r="BF28" i="3"/>
  <c r="BE28" i="3"/>
  <c r="BF27" i="3"/>
  <c r="BE27" i="3"/>
  <c r="BF26" i="3"/>
  <c r="BE26" i="3"/>
  <c r="BF25" i="3"/>
  <c r="BE25" i="3"/>
  <c r="BF24" i="3"/>
  <c r="BE24" i="3"/>
  <c r="BF23" i="3"/>
  <c r="BE23" i="3"/>
  <c r="BF22" i="3"/>
  <c r="BE22" i="3"/>
  <c r="BF21" i="3"/>
  <c r="BE21" i="3"/>
  <c r="BF20" i="3"/>
  <c r="BE20" i="3"/>
  <c r="BF19" i="3"/>
  <c r="BE19" i="3"/>
  <c r="BF18" i="3"/>
  <c r="BE18" i="3"/>
  <c r="BF17" i="3"/>
  <c r="BE17" i="3"/>
  <c r="BF16" i="3"/>
  <c r="BE16" i="3"/>
  <c r="BF15" i="3"/>
  <c r="BE15" i="3"/>
  <c r="BF14" i="3"/>
  <c r="BE14" i="3"/>
  <c r="BF13" i="3"/>
  <c r="BE13" i="3"/>
  <c r="BF12" i="3"/>
  <c r="BF30" i="3" s="1"/>
  <c r="BE12" i="3"/>
  <c r="BE30" i="3" s="1"/>
  <c r="BF48" i="1"/>
  <c r="BC46" i="1"/>
  <c r="BC55" i="1"/>
  <c r="BC48" i="1"/>
  <c r="BC34" i="1"/>
  <c r="BC16" i="1"/>
  <c r="BC14" i="1"/>
  <c r="BE48" i="1"/>
  <c r="BB46" i="1"/>
  <c r="BB58" i="1"/>
  <c r="BB54" i="1"/>
  <c r="BB48" i="1"/>
  <c r="BB38" i="1"/>
  <c r="BB30" i="1"/>
  <c r="AZ48" i="1" l="1"/>
  <c r="AZ57" i="1"/>
  <c r="AZ16" i="1"/>
  <c r="AY32" i="1"/>
  <c r="AY54" i="1"/>
  <c r="AY34" i="1"/>
  <c r="AY29" i="1"/>
  <c r="AY32" i="2"/>
  <c r="AY16" i="2"/>
  <c r="BU69" i="3"/>
  <c r="BT69" i="3"/>
  <c r="BU68" i="3"/>
  <c r="BV68" i="3" s="1"/>
  <c r="BT68" i="3"/>
  <c r="BU67" i="3"/>
  <c r="BT67" i="3"/>
  <c r="BV67" i="3" s="1"/>
  <c r="BU66" i="3"/>
  <c r="BT66" i="3"/>
  <c r="BU65" i="3"/>
  <c r="BV65" i="3" s="1"/>
  <c r="BT65" i="3"/>
  <c r="BU64" i="3"/>
  <c r="BT64" i="3"/>
  <c r="BV64" i="3" s="1"/>
  <c r="BU63" i="3"/>
  <c r="BT63" i="3"/>
  <c r="BV63" i="3" s="1"/>
  <c r="BU62" i="3"/>
  <c r="BV62" i="3" s="1"/>
  <c r="BT62" i="3"/>
  <c r="BU61" i="3"/>
  <c r="BT61" i="3"/>
  <c r="BV61" i="3" s="1"/>
  <c r="BU60" i="3"/>
  <c r="BT60" i="3"/>
  <c r="BU59" i="3"/>
  <c r="BT59" i="3"/>
  <c r="BU58" i="3"/>
  <c r="BT58" i="3"/>
  <c r="BV58" i="3" s="1"/>
  <c r="BU57" i="3"/>
  <c r="BT57" i="3"/>
  <c r="BU56" i="3"/>
  <c r="BT56" i="3"/>
  <c r="BU55" i="3"/>
  <c r="BT55" i="3"/>
  <c r="BU54" i="3"/>
  <c r="BT54" i="3"/>
  <c r="BU53" i="3"/>
  <c r="BT53" i="3"/>
  <c r="BU52" i="3"/>
  <c r="BT52" i="3"/>
  <c r="BV52" i="3" s="1"/>
  <c r="BU51" i="3"/>
  <c r="BT51" i="3"/>
  <c r="BU50" i="3"/>
  <c r="BT50" i="3"/>
  <c r="BU49" i="3"/>
  <c r="BT49" i="3"/>
  <c r="BV49" i="3" s="1"/>
  <c r="BU48" i="3"/>
  <c r="BT48" i="3"/>
  <c r="BU47" i="3"/>
  <c r="BT47" i="3"/>
  <c r="BU46" i="3"/>
  <c r="BT46" i="3"/>
  <c r="BU45" i="3"/>
  <c r="BT45" i="3"/>
  <c r="BU44" i="3"/>
  <c r="BT44" i="3"/>
  <c r="BU43" i="3"/>
  <c r="BT43" i="3"/>
  <c r="BU42" i="3"/>
  <c r="BT42" i="3"/>
  <c r="BU41" i="3"/>
  <c r="BT41" i="3"/>
  <c r="BU40" i="3"/>
  <c r="BT40" i="3"/>
  <c r="BV40" i="3" s="1"/>
  <c r="BU39" i="3"/>
  <c r="BT39" i="3"/>
  <c r="BU38" i="3"/>
  <c r="BT38" i="3"/>
  <c r="BU37" i="3"/>
  <c r="BT37" i="3"/>
  <c r="BU36" i="3"/>
  <c r="BT36" i="3"/>
  <c r="BU35" i="3"/>
  <c r="BT35" i="3"/>
  <c r="BU34" i="3"/>
  <c r="BT34" i="3"/>
  <c r="BV34" i="3" s="1"/>
  <c r="BU33" i="3"/>
  <c r="BT33" i="3"/>
  <c r="BU32" i="3"/>
  <c r="BT32" i="3"/>
  <c r="BU29" i="3"/>
  <c r="BT29" i="3"/>
  <c r="BU28" i="3"/>
  <c r="BT28" i="3"/>
  <c r="BU27" i="3"/>
  <c r="BT27" i="3"/>
  <c r="BU26" i="3"/>
  <c r="BT26" i="3"/>
  <c r="BU25" i="3"/>
  <c r="BT25" i="3"/>
  <c r="BU24" i="3"/>
  <c r="BT24" i="3"/>
  <c r="BV24" i="3" s="1"/>
  <c r="BU23" i="3"/>
  <c r="BT23" i="3"/>
  <c r="BU22" i="3"/>
  <c r="BT22" i="3"/>
  <c r="BU21" i="3"/>
  <c r="BT21" i="3"/>
  <c r="BU20" i="3"/>
  <c r="BT20" i="3"/>
  <c r="BU19" i="3"/>
  <c r="BT19" i="3"/>
  <c r="BU18" i="3"/>
  <c r="BT18" i="3"/>
  <c r="BV18" i="3" s="1"/>
  <c r="BU17" i="3"/>
  <c r="BT17" i="3"/>
  <c r="BU16" i="3"/>
  <c r="BT16" i="3"/>
  <c r="BU15" i="3"/>
  <c r="BT15" i="3"/>
  <c r="BU14" i="3"/>
  <c r="BT14" i="3"/>
  <c r="BU13" i="3"/>
  <c r="BT13" i="3"/>
  <c r="BU12" i="3"/>
  <c r="BU30" i="3" s="1"/>
  <c r="BT12" i="3"/>
  <c r="BT30" i="3" s="1"/>
  <c r="BO69" i="3"/>
  <c r="BN69" i="3"/>
  <c r="BP69" i="3" s="1"/>
  <c r="BO68" i="3"/>
  <c r="BN68" i="3"/>
  <c r="BO67" i="3"/>
  <c r="BN67" i="3"/>
  <c r="BP67" i="3" s="1"/>
  <c r="BO66" i="3"/>
  <c r="BN66" i="3"/>
  <c r="BO65" i="3"/>
  <c r="BN65" i="3"/>
  <c r="BO64" i="3"/>
  <c r="BN64" i="3"/>
  <c r="BP64" i="3" s="1"/>
  <c r="BO63" i="3"/>
  <c r="BN63" i="3"/>
  <c r="BO62" i="3"/>
  <c r="BN62" i="3"/>
  <c r="BO61" i="3"/>
  <c r="BN61" i="3"/>
  <c r="BP61" i="3" s="1"/>
  <c r="BO60" i="3"/>
  <c r="BN60" i="3"/>
  <c r="BO59" i="3"/>
  <c r="BN59" i="3"/>
  <c r="BO58" i="3"/>
  <c r="BN58" i="3"/>
  <c r="BP58" i="3" s="1"/>
  <c r="BO57" i="3"/>
  <c r="BN57" i="3"/>
  <c r="BO56" i="3"/>
  <c r="BN56" i="3"/>
  <c r="BO55" i="3"/>
  <c r="BN55" i="3"/>
  <c r="BP55" i="3" s="1"/>
  <c r="BO54" i="3"/>
  <c r="BN54" i="3"/>
  <c r="BO53" i="3"/>
  <c r="BN53" i="3"/>
  <c r="BO52" i="3"/>
  <c r="BN52" i="3"/>
  <c r="BO51" i="3"/>
  <c r="BN51" i="3"/>
  <c r="BO50" i="3"/>
  <c r="BN50" i="3"/>
  <c r="BO49" i="3"/>
  <c r="BN49" i="3"/>
  <c r="BP49" i="3" s="1"/>
  <c r="BO48" i="3"/>
  <c r="BN48" i="3"/>
  <c r="BO47" i="3"/>
  <c r="BN47" i="3"/>
  <c r="BO46" i="3"/>
  <c r="BN46" i="3"/>
  <c r="BP46" i="3" s="1"/>
  <c r="BO45" i="3"/>
  <c r="BN45" i="3"/>
  <c r="BO44" i="3"/>
  <c r="BN44" i="3"/>
  <c r="BO43" i="3"/>
  <c r="BN43" i="3"/>
  <c r="BP43" i="3" s="1"/>
  <c r="BO42" i="3"/>
  <c r="BN42" i="3"/>
  <c r="BO41" i="3"/>
  <c r="BN41" i="3"/>
  <c r="BO40" i="3"/>
  <c r="BN40" i="3"/>
  <c r="BP40" i="3" s="1"/>
  <c r="BO39" i="3"/>
  <c r="BN39" i="3"/>
  <c r="BO38" i="3"/>
  <c r="BN38" i="3"/>
  <c r="BO37" i="3"/>
  <c r="BN37" i="3"/>
  <c r="BP37" i="3" s="1"/>
  <c r="BO36" i="3"/>
  <c r="BN36" i="3"/>
  <c r="BO35" i="3"/>
  <c r="BN35" i="3"/>
  <c r="BO34" i="3"/>
  <c r="BN34" i="3"/>
  <c r="BP34" i="3" s="1"/>
  <c r="BO33" i="3"/>
  <c r="BN33" i="3"/>
  <c r="BO32" i="3"/>
  <c r="BN32" i="3"/>
  <c r="BO29" i="3"/>
  <c r="BN29" i="3"/>
  <c r="BO28" i="3"/>
  <c r="BN28" i="3"/>
  <c r="BO27" i="3"/>
  <c r="BN27" i="3"/>
  <c r="BP27" i="3" s="1"/>
  <c r="BO26" i="3"/>
  <c r="BN26" i="3"/>
  <c r="BO25" i="3"/>
  <c r="BN25" i="3"/>
  <c r="BO24" i="3"/>
  <c r="BN24" i="3"/>
  <c r="BO23" i="3"/>
  <c r="BN23" i="3"/>
  <c r="BO22" i="3"/>
  <c r="BN22" i="3"/>
  <c r="BO21" i="3"/>
  <c r="BN21" i="3"/>
  <c r="BP21" i="3" s="1"/>
  <c r="BO20" i="3"/>
  <c r="BN20" i="3"/>
  <c r="BO19" i="3"/>
  <c r="BN19" i="3"/>
  <c r="BO18" i="3"/>
  <c r="BN18" i="3"/>
  <c r="BP18" i="3" s="1"/>
  <c r="BO17" i="3"/>
  <c r="BN17" i="3"/>
  <c r="BO16" i="3"/>
  <c r="BN16" i="3"/>
  <c r="BO15" i="3"/>
  <c r="BN15" i="3"/>
  <c r="BO14" i="3"/>
  <c r="BN14" i="3"/>
  <c r="BO13" i="3"/>
  <c r="BN13" i="3"/>
  <c r="BO12" i="3"/>
  <c r="BO30" i="3" s="1"/>
  <c r="BN12" i="3"/>
  <c r="BN30" i="3" s="1"/>
  <c r="BI69" i="3"/>
  <c r="BH69" i="3"/>
  <c r="BI68" i="3"/>
  <c r="BH68" i="3"/>
  <c r="BI67" i="3"/>
  <c r="BH67" i="3"/>
  <c r="BJ67" i="3" s="1"/>
  <c r="BI66" i="3"/>
  <c r="BH66" i="3"/>
  <c r="BI65" i="3"/>
  <c r="BH65" i="3"/>
  <c r="BI64" i="3"/>
  <c r="BH64" i="3"/>
  <c r="BJ64" i="3" s="1"/>
  <c r="BI63" i="3"/>
  <c r="BH63" i="3"/>
  <c r="BI62" i="3"/>
  <c r="BH62" i="3"/>
  <c r="BI61" i="3"/>
  <c r="BH61" i="3"/>
  <c r="BI60" i="3"/>
  <c r="BH60" i="3"/>
  <c r="BI59" i="3"/>
  <c r="BH59" i="3"/>
  <c r="BI58" i="3"/>
  <c r="BH58" i="3"/>
  <c r="BI57" i="3"/>
  <c r="BH57" i="3"/>
  <c r="BI56" i="3"/>
  <c r="BH56" i="3"/>
  <c r="BI55" i="3"/>
  <c r="BH55" i="3"/>
  <c r="BI54" i="3"/>
  <c r="BH54" i="3"/>
  <c r="BI53" i="3"/>
  <c r="BH53" i="3"/>
  <c r="BI52" i="3"/>
  <c r="BH52" i="3"/>
  <c r="BI51" i="3"/>
  <c r="BH51" i="3"/>
  <c r="BI50" i="3"/>
  <c r="BH50" i="3"/>
  <c r="BI49" i="3"/>
  <c r="BH49" i="3"/>
  <c r="BJ49" i="3" s="1"/>
  <c r="BI48" i="3"/>
  <c r="BH48" i="3"/>
  <c r="BI47" i="3"/>
  <c r="BH47" i="3"/>
  <c r="BI46" i="3"/>
  <c r="BH46" i="3"/>
  <c r="BJ46" i="3" s="1"/>
  <c r="BI45" i="3"/>
  <c r="BH45" i="3"/>
  <c r="BI44" i="3"/>
  <c r="BH44" i="3"/>
  <c r="BI43" i="3"/>
  <c r="BH43" i="3"/>
  <c r="BI42" i="3"/>
  <c r="BH42" i="3"/>
  <c r="BI41" i="3"/>
  <c r="BH41" i="3"/>
  <c r="BI40" i="3"/>
  <c r="BH40" i="3"/>
  <c r="BJ40" i="3" s="1"/>
  <c r="BI39" i="3"/>
  <c r="BH39" i="3"/>
  <c r="BI38" i="3"/>
  <c r="BH38" i="3"/>
  <c r="BI37" i="3"/>
  <c r="BH37" i="3"/>
  <c r="BJ37" i="3" s="1"/>
  <c r="BI36" i="3"/>
  <c r="BH36" i="3"/>
  <c r="BI35" i="3"/>
  <c r="BH35" i="3"/>
  <c r="BI34" i="3"/>
  <c r="BH34" i="3"/>
  <c r="BJ34" i="3" s="1"/>
  <c r="BI33" i="3"/>
  <c r="BH33" i="3"/>
  <c r="BI32" i="3"/>
  <c r="BH32" i="3"/>
  <c r="BI29" i="3"/>
  <c r="BH29" i="3"/>
  <c r="BI28" i="3"/>
  <c r="BH28" i="3"/>
  <c r="BI27" i="3"/>
  <c r="BH27" i="3"/>
  <c r="BI26" i="3"/>
  <c r="BH26" i="3"/>
  <c r="BI25" i="3"/>
  <c r="BH25" i="3"/>
  <c r="BI24" i="3"/>
  <c r="BH24" i="3"/>
  <c r="BJ24" i="3" s="1"/>
  <c r="BI23" i="3"/>
  <c r="BH23" i="3"/>
  <c r="BI22" i="3"/>
  <c r="BH22" i="3"/>
  <c r="BI21" i="3"/>
  <c r="BH21" i="3"/>
  <c r="BI20" i="3"/>
  <c r="BH20" i="3"/>
  <c r="BI19" i="3"/>
  <c r="BH19" i="3"/>
  <c r="BI18" i="3"/>
  <c r="BH18" i="3"/>
  <c r="BI17" i="3"/>
  <c r="BH17" i="3"/>
  <c r="BI16" i="3"/>
  <c r="BH16" i="3"/>
  <c r="BI15" i="3"/>
  <c r="BH15" i="3"/>
  <c r="BJ15" i="3" s="1"/>
  <c r="BI14" i="3"/>
  <c r="BH14" i="3"/>
  <c r="BI13" i="3"/>
  <c r="BH13" i="3"/>
  <c r="BI12" i="3"/>
  <c r="BI30" i="3" s="1"/>
  <c r="BH12" i="3"/>
  <c r="BH30" i="3" s="1"/>
  <c r="BC69" i="3"/>
  <c r="BB69" i="3"/>
  <c r="BD69" i="3" s="1"/>
  <c r="BC68" i="3"/>
  <c r="BB68" i="3"/>
  <c r="BD68" i="3" s="1"/>
  <c r="BC67" i="3"/>
  <c r="BB67" i="3"/>
  <c r="BD67" i="3" s="1"/>
  <c r="BC66" i="3"/>
  <c r="BB66" i="3"/>
  <c r="BC65" i="3"/>
  <c r="BB65" i="3"/>
  <c r="BD65" i="3" s="1"/>
  <c r="BC64" i="3"/>
  <c r="BB64" i="3"/>
  <c r="BD64" i="3" s="1"/>
  <c r="BC63" i="3"/>
  <c r="BB63" i="3"/>
  <c r="BD63" i="3" s="1"/>
  <c r="BC62" i="3"/>
  <c r="BB62" i="3"/>
  <c r="BD62" i="3" s="1"/>
  <c r="BC61" i="3"/>
  <c r="BB61" i="3"/>
  <c r="BD61" i="3" s="1"/>
  <c r="BC60" i="3"/>
  <c r="BB60" i="3"/>
  <c r="BC59" i="3"/>
  <c r="BB59" i="3"/>
  <c r="BC58" i="3"/>
  <c r="BB58" i="3"/>
  <c r="BC57" i="3"/>
  <c r="BB57" i="3"/>
  <c r="BC56" i="3"/>
  <c r="BB56" i="3"/>
  <c r="BD56" i="3" s="1"/>
  <c r="BC55" i="3"/>
  <c r="BB55" i="3"/>
  <c r="BC54" i="3"/>
  <c r="BB54" i="3"/>
  <c r="BC53" i="3"/>
  <c r="BB53" i="3"/>
  <c r="BC52" i="3"/>
  <c r="BB52" i="3"/>
  <c r="BC51" i="3"/>
  <c r="BB51" i="3"/>
  <c r="BD51" i="3" s="1"/>
  <c r="BC50" i="3"/>
  <c r="BB50" i="3"/>
  <c r="BC49" i="3"/>
  <c r="BB49" i="3"/>
  <c r="BC48" i="3"/>
  <c r="BB48" i="3"/>
  <c r="BZ48" i="3" s="1"/>
  <c r="BC47" i="3"/>
  <c r="BB47" i="3"/>
  <c r="BD47" i="3" s="1"/>
  <c r="BC46" i="3"/>
  <c r="BB46" i="3"/>
  <c r="BC45" i="3"/>
  <c r="BB45" i="3"/>
  <c r="BD45" i="3" s="1"/>
  <c r="BC44" i="3"/>
  <c r="BB44" i="3"/>
  <c r="BC43" i="3"/>
  <c r="BB43" i="3"/>
  <c r="BC42" i="3"/>
  <c r="BB42" i="3"/>
  <c r="BC41" i="3"/>
  <c r="BB41" i="3"/>
  <c r="BD41" i="3" s="1"/>
  <c r="BC40" i="3"/>
  <c r="BB40" i="3"/>
  <c r="BC39" i="3"/>
  <c r="BB39" i="3"/>
  <c r="BD39" i="3" s="1"/>
  <c r="BC38" i="3"/>
  <c r="BB38" i="3"/>
  <c r="BD38" i="3" s="1"/>
  <c r="BC37" i="3"/>
  <c r="BB37" i="3"/>
  <c r="BC36" i="3"/>
  <c r="BB36" i="3"/>
  <c r="BD36" i="3" s="1"/>
  <c r="BC35" i="3"/>
  <c r="BB35" i="3"/>
  <c r="BC34" i="3"/>
  <c r="BB34" i="3"/>
  <c r="BC33" i="3"/>
  <c r="BB33" i="3"/>
  <c r="BC32" i="3"/>
  <c r="BB32" i="3"/>
  <c r="BC29" i="3"/>
  <c r="BB29" i="3"/>
  <c r="BC28" i="3"/>
  <c r="BB28" i="3"/>
  <c r="BC27" i="3"/>
  <c r="BB27" i="3"/>
  <c r="BC26" i="3"/>
  <c r="BB26" i="3"/>
  <c r="BC25" i="3"/>
  <c r="BB25" i="3"/>
  <c r="BD25" i="3" s="1"/>
  <c r="BC24" i="3"/>
  <c r="BB24" i="3"/>
  <c r="BC23" i="3"/>
  <c r="BB23" i="3"/>
  <c r="BC22" i="3"/>
  <c r="BB22" i="3"/>
  <c r="BC21" i="3"/>
  <c r="BB21" i="3"/>
  <c r="BD21" i="3" s="1"/>
  <c r="BC20" i="3"/>
  <c r="BB20" i="3"/>
  <c r="BC19" i="3"/>
  <c r="BB19" i="3"/>
  <c r="BD19" i="3" s="1"/>
  <c r="BC18" i="3"/>
  <c r="BB18" i="3"/>
  <c r="BD18" i="3" s="1"/>
  <c r="BC17" i="3"/>
  <c r="BB17" i="3"/>
  <c r="BC16" i="3"/>
  <c r="BB16" i="3"/>
  <c r="BZ16" i="3" s="1"/>
  <c r="BC15" i="3"/>
  <c r="BB15" i="3"/>
  <c r="BD15" i="3" s="1"/>
  <c r="BC14" i="3"/>
  <c r="BB14" i="3"/>
  <c r="BC13" i="3"/>
  <c r="BB13" i="3"/>
  <c r="BD13" i="3" s="1"/>
  <c r="BC12" i="3"/>
  <c r="BB12" i="3"/>
  <c r="AW69" i="3"/>
  <c r="AV69" i="3"/>
  <c r="AX69" i="3" s="1"/>
  <c r="AW68" i="3"/>
  <c r="AV68" i="3"/>
  <c r="AX68" i="3" s="1"/>
  <c r="AW67" i="3"/>
  <c r="AV67" i="3"/>
  <c r="AX67" i="3" s="1"/>
  <c r="AW66" i="3"/>
  <c r="AV66" i="3"/>
  <c r="AW65" i="3"/>
  <c r="AV65" i="3"/>
  <c r="AW64" i="3"/>
  <c r="AV64" i="3"/>
  <c r="AX64" i="3" s="1"/>
  <c r="AW63" i="3"/>
  <c r="AV63" i="3"/>
  <c r="AW62" i="3"/>
  <c r="AV62" i="3"/>
  <c r="AW61" i="3"/>
  <c r="AV61" i="3"/>
  <c r="AW60" i="3"/>
  <c r="AV60" i="3"/>
  <c r="AW59" i="3"/>
  <c r="AV59" i="3"/>
  <c r="AW58" i="3"/>
  <c r="AV58" i="3"/>
  <c r="AW57" i="3"/>
  <c r="AV57" i="3"/>
  <c r="AW56" i="3"/>
  <c r="AV56" i="3"/>
  <c r="AW55" i="3"/>
  <c r="AV55" i="3"/>
  <c r="AX55" i="3" s="1"/>
  <c r="AW54" i="3"/>
  <c r="AV54" i="3"/>
  <c r="AW53" i="3"/>
  <c r="AV53" i="3"/>
  <c r="AW52" i="3"/>
  <c r="AV52" i="3"/>
  <c r="AW51" i="3"/>
  <c r="AV51" i="3"/>
  <c r="AW50" i="3"/>
  <c r="AV50" i="3"/>
  <c r="AW49" i="3"/>
  <c r="AV49" i="3"/>
  <c r="AX49" i="3" s="1"/>
  <c r="AW48" i="3"/>
  <c r="AV48" i="3"/>
  <c r="AW47" i="3"/>
  <c r="AV47" i="3"/>
  <c r="AW46" i="3"/>
  <c r="AV46" i="3"/>
  <c r="AX46" i="3" s="1"/>
  <c r="AW45" i="3"/>
  <c r="AV45" i="3"/>
  <c r="AW44" i="3"/>
  <c r="AV44" i="3"/>
  <c r="AW43" i="3"/>
  <c r="AV43" i="3"/>
  <c r="AW42" i="3"/>
  <c r="AV42" i="3"/>
  <c r="AW41" i="3"/>
  <c r="AV41" i="3"/>
  <c r="AW40" i="3"/>
  <c r="AV40" i="3"/>
  <c r="AW39" i="3"/>
  <c r="AV39" i="3"/>
  <c r="AW38" i="3"/>
  <c r="AV38" i="3"/>
  <c r="AW37" i="3"/>
  <c r="AV37" i="3"/>
  <c r="AX37" i="3" s="1"/>
  <c r="AW36" i="3"/>
  <c r="AV36" i="3"/>
  <c r="AW35" i="3"/>
  <c r="AV35" i="3"/>
  <c r="AW34" i="3"/>
  <c r="AV34" i="3"/>
  <c r="AX34" i="3" s="1"/>
  <c r="AW33" i="3"/>
  <c r="AV33" i="3"/>
  <c r="AW32" i="3"/>
  <c r="AV32" i="3"/>
  <c r="AW29" i="3"/>
  <c r="AV29" i="3"/>
  <c r="AW28" i="3"/>
  <c r="AV28" i="3"/>
  <c r="AW27" i="3"/>
  <c r="AV27" i="3"/>
  <c r="AW26" i="3"/>
  <c r="AV26" i="3"/>
  <c r="AW25" i="3"/>
  <c r="AV25" i="3"/>
  <c r="AW24" i="3"/>
  <c r="AV24" i="3"/>
  <c r="AW23" i="3"/>
  <c r="AV23" i="3"/>
  <c r="AW22" i="3"/>
  <c r="AV22" i="3"/>
  <c r="AW21" i="3"/>
  <c r="AV21" i="3"/>
  <c r="AW20" i="3"/>
  <c r="AV20" i="3"/>
  <c r="AW19" i="3"/>
  <c r="AV19" i="3"/>
  <c r="AW18" i="3"/>
  <c r="AV18" i="3"/>
  <c r="AX18" i="3" s="1"/>
  <c r="AW17" i="3"/>
  <c r="AV17" i="3"/>
  <c r="AW16" i="3"/>
  <c r="AV16" i="3"/>
  <c r="AW15" i="3"/>
  <c r="AV15" i="3"/>
  <c r="AW14" i="3"/>
  <c r="AV14" i="3"/>
  <c r="AW13" i="3"/>
  <c r="AV13" i="3"/>
  <c r="AW12" i="3"/>
  <c r="AW30" i="3" s="1"/>
  <c r="AV12" i="3"/>
  <c r="AV30" i="3" s="1"/>
  <c r="AQ69" i="3"/>
  <c r="AP69" i="3"/>
  <c r="AQ68" i="3"/>
  <c r="AP68" i="3"/>
  <c r="AQ67" i="3"/>
  <c r="AP67" i="3"/>
  <c r="AR67" i="3" s="1"/>
  <c r="AQ66" i="3"/>
  <c r="AP66" i="3"/>
  <c r="AQ65" i="3"/>
  <c r="AP65" i="3"/>
  <c r="AQ64" i="3"/>
  <c r="AP64" i="3"/>
  <c r="AR64" i="3" s="1"/>
  <c r="AQ63" i="3"/>
  <c r="AP63" i="3"/>
  <c r="AQ62" i="3"/>
  <c r="AP62" i="3"/>
  <c r="AQ61" i="3"/>
  <c r="AP61" i="3"/>
  <c r="AR61" i="3" s="1"/>
  <c r="AQ60" i="3"/>
  <c r="AP60" i="3"/>
  <c r="AQ59" i="3"/>
  <c r="AP59" i="3"/>
  <c r="AQ58" i="3"/>
  <c r="AP58" i="3"/>
  <c r="AR58" i="3" s="1"/>
  <c r="AQ57" i="3"/>
  <c r="AP57" i="3"/>
  <c r="AQ56" i="3"/>
  <c r="AP56" i="3"/>
  <c r="AQ55" i="3"/>
  <c r="AP55" i="3"/>
  <c r="AQ54" i="3"/>
  <c r="AP54" i="3"/>
  <c r="AQ53" i="3"/>
  <c r="AP53" i="3"/>
  <c r="AQ52" i="3"/>
  <c r="AP52" i="3"/>
  <c r="AQ51" i="3"/>
  <c r="AP51" i="3"/>
  <c r="AQ50" i="3"/>
  <c r="AP50" i="3"/>
  <c r="AQ49" i="3"/>
  <c r="AP49" i="3"/>
  <c r="AR49" i="3" s="1"/>
  <c r="AQ48" i="3"/>
  <c r="AP48" i="3"/>
  <c r="AQ47" i="3"/>
  <c r="AP47" i="3"/>
  <c r="AQ46" i="3"/>
  <c r="AP46" i="3"/>
  <c r="AR46" i="3" s="1"/>
  <c r="AQ45" i="3"/>
  <c r="AP45" i="3"/>
  <c r="AQ44" i="3"/>
  <c r="AP44" i="3"/>
  <c r="AQ43" i="3"/>
  <c r="AP43" i="3"/>
  <c r="AQ42" i="3"/>
  <c r="AP42" i="3"/>
  <c r="AQ41" i="3"/>
  <c r="AP41" i="3"/>
  <c r="AQ40" i="3"/>
  <c r="AP40" i="3"/>
  <c r="AQ39" i="3"/>
  <c r="AP39" i="3"/>
  <c r="AQ38" i="3"/>
  <c r="AP38" i="3"/>
  <c r="AQ37" i="3"/>
  <c r="AP37" i="3"/>
  <c r="AR37" i="3" s="1"/>
  <c r="AQ36" i="3"/>
  <c r="AP36" i="3"/>
  <c r="AQ35" i="3"/>
  <c r="AP35" i="3"/>
  <c r="AQ34" i="3"/>
  <c r="AP34" i="3"/>
  <c r="AQ33" i="3"/>
  <c r="AP33" i="3"/>
  <c r="AQ32" i="3"/>
  <c r="AP32" i="3"/>
  <c r="AQ29" i="3"/>
  <c r="AP29" i="3"/>
  <c r="AQ28" i="3"/>
  <c r="AP28" i="3"/>
  <c r="AQ27" i="3"/>
  <c r="AP27" i="3"/>
  <c r="AR27" i="3" s="1"/>
  <c r="AQ26" i="3"/>
  <c r="AP26" i="3"/>
  <c r="AQ25" i="3"/>
  <c r="AP25" i="3"/>
  <c r="AQ24" i="3"/>
  <c r="AP24" i="3"/>
  <c r="AQ23" i="3"/>
  <c r="AP23" i="3"/>
  <c r="AQ22" i="3"/>
  <c r="AP22" i="3"/>
  <c r="AQ21" i="3"/>
  <c r="AP21" i="3"/>
  <c r="AR21" i="3" s="1"/>
  <c r="AQ20" i="3"/>
  <c r="AP20" i="3"/>
  <c r="AQ19" i="3"/>
  <c r="AP19" i="3"/>
  <c r="AQ18" i="3"/>
  <c r="AP18" i="3"/>
  <c r="AR18" i="3" s="1"/>
  <c r="AQ17" i="3"/>
  <c r="AP17" i="3"/>
  <c r="AQ16" i="3"/>
  <c r="AP16" i="3"/>
  <c r="AQ15" i="3"/>
  <c r="AP15" i="3"/>
  <c r="AR15" i="3" s="1"/>
  <c r="AQ14" i="3"/>
  <c r="AP14" i="3"/>
  <c r="AQ13" i="3"/>
  <c r="AP13" i="3"/>
  <c r="AQ12" i="3"/>
  <c r="AQ30" i="3" s="1"/>
  <c r="AP12" i="3"/>
  <c r="AP30" i="3" s="1"/>
  <c r="AK69" i="3"/>
  <c r="AJ69" i="3"/>
  <c r="AK68" i="3"/>
  <c r="AJ68" i="3"/>
  <c r="AK67" i="3"/>
  <c r="AJ67" i="3"/>
  <c r="AL67" i="3" s="1"/>
  <c r="AK66" i="3"/>
  <c r="AJ66" i="3"/>
  <c r="AK65" i="3"/>
  <c r="AJ65" i="3"/>
  <c r="AK64" i="3"/>
  <c r="AJ64" i="3"/>
  <c r="AL64" i="3" s="1"/>
  <c r="AK63" i="3"/>
  <c r="AJ63" i="3"/>
  <c r="AK62" i="3"/>
  <c r="AJ62" i="3"/>
  <c r="AK61" i="3"/>
  <c r="AJ61" i="3"/>
  <c r="AL61" i="3" s="1"/>
  <c r="AK60" i="3"/>
  <c r="AJ60" i="3"/>
  <c r="AK59" i="3"/>
  <c r="AJ59" i="3"/>
  <c r="AK58" i="3"/>
  <c r="AJ58" i="3"/>
  <c r="AK57" i="3"/>
  <c r="AJ57" i="3"/>
  <c r="AK56" i="3"/>
  <c r="AJ56" i="3"/>
  <c r="AK55" i="3"/>
  <c r="AJ55" i="3"/>
  <c r="AK54" i="3"/>
  <c r="AJ54" i="3"/>
  <c r="AK53" i="3"/>
  <c r="AJ53" i="3"/>
  <c r="AK52" i="3"/>
  <c r="AJ52" i="3"/>
  <c r="AL52" i="3" s="1"/>
  <c r="AK51" i="3"/>
  <c r="AJ51" i="3"/>
  <c r="AK50" i="3"/>
  <c r="AJ50" i="3"/>
  <c r="AK49" i="3"/>
  <c r="AJ49" i="3"/>
  <c r="AL49" i="3" s="1"/>
  <c r="AK48" i="3"/>
  <c r="AJ48" i="3"/>
  <c r="AK47" i="3"/>
  <c r="AJ47" i="3"/>
  <c r="AK46" i="3"/>
  <c r="AJ46" i="3"/>
  <c r="AL46" i="3" s="1"/>
  <c r="AK45" i="3"/>
  <c r="AJ45" i="3"/>
  <c r="AK44" i="3"/>
  <c r="AJ44" i="3"/>
  <c r="AK43" i="3"/>
  <c r="AJ43" i="3"/>
  <c r="AK42" i="3"/>
  <c r="AJ42" i="3"/>
  <c r="AK41" i="3"/>
  <c r="AJ41" i="3"/>
  <c r="AK40" i="3"/>
  <c r="AJ40" i="3"/>
  <c r="AL40" i="3" s="1"/>
  <c r="AK39" i="3"/>
  <c r="AJ39" i="3"/>
  <c r="AK38" i="3"/>
  <c r="AJ38" i="3"/>
  <c r="AK37" i="3"/>
  <c r="AJ37" i="3"/>
  <c r="AL37" i="3" s="1"/>
  <c r="AK36" i="3"/>
  <c r="AJ36" i="3"/>
  <c r="AK35" i="3"/>
  <c r="AJ35" i="3"/>
  <c r="AK34" i="3"/>
  <c r="AJ34" i="3"/>
  <c r="AK33" i="3"/>
  <c r="AJ33" i="3"/>
  <c r="AK32" i="3"/>
  <c r="AJ32" i="3"/>
  <c r="AK29" i="3"/>
  <c r="AJ29" i="3"/>
  <c r="AK28" i="3"/>
  <c r="AJ28" i="3"/>
  <c r="AK27" i="3"/>
  <c r="AJ27" i="3"/>
  <c r="AK26" i="3"/>
  <c r="AJ26" i="3"/>
  <c r="AK25" i="3"/>
  <c r="AJ25" i="3"/>
  <c r="AK24" i="3"/>
  <c r="AJ24" i="3"/>
  <c r="AL24" i="3" s="1"/>
  <c r="AK23" i="3"/>
  <c r="AJ23" i="3"/>
  <c r="AK22" i="3"/>
  <c r="AJ22" i="3"/>
  <c r="AK21" i="3"/>
  <c r="AJ21" i="3"/>
  <c r="AK20" i="3"/>
  <c r="AJ20" i="3"/>
  <c r="AK19" i="3"/>
  <c r="AJ19" i="3"/>
  <c r="AK18" i="3"/>
  <c r="AJ18" i="3"/>
  <c r="AL18" i="3" s="1"/>
  <c r="AK17" i="3"/>
  <c r="AJ17" i="3"/>
  <c r="AK16" i="3"/>
  <c r="AJ16" i="3"/>
  <c r="AK15" i="3"/>
  <c r="AJ15" i="3"/>
  <c r="AL15" i="3" s="1"/>
  <c r="AK14" i="3"/>
  <c r="AJ14" i="3"/>
  <c r="AK13" i="3"/>
  <c r="AJ13" i="3"/>
  <c r="AK12" i="3"/>
  <c r="AK30" i="3" s="1"/>
  <c r="AJ12" i="3"/>
  <c r="AJ30" i="3" s="1"/>
  <c r="AE69" i="3"/>
  <c r="AD69" i="3"/>
  <c r="AF69" i="3" s="1"/>
  <c r="AE68" i="3"/>
  <c r="AD68" i="3"/>
  <c r="AE67" i="3"/>
  <c r="AD67" i="3"/>
  <c r="AF67" i="3" s="1"/>
  <c r="AE66" i="3"/>
  <c r="AD66" i="3"/>
  <c r="AE65" i="3"/>
  <c r="AD65" i="3"/>
  <c r="AE64" i="3"/>
  <c r="AD64" i="3"/>
  <c r="AE63" i="3"/>
  <c r="AD63" i="3"/>
  <c r="AE62" i="3"/>
  <c r="AD62" i="3"/>
  <c r="AE61" i="3"/>
  <c r="AD61" i="3"/>
  <c r="AF61" i="3" s="1"/>
  <c r="AE60" i="3"/>
  <c r="AD60" i="3"/>
  <c r="AE59" i="3"/>
  <c r="AD59" i="3"/>
  <c r="AE58" i="3"/>
  <c r="AD58" i="3"/>
  <c r="AF58" i="3" s="1"/>
  <c r="AE57" i="3"/>
  <c r="AD57" i="3"/>
  <c r="AE56" i="3"/>
  <c r="AD56" i="3"/>
  <c r="AE55" i="3"/>
  <c r="AD55" i="3"/>
  <c r="AF55" i="3" s="1"/>
  <c r="AE54" i="3"/>
  <c r="AD54" i="3"/>
  <c r="AE53" i="3"/>
  <c r="AD53" i="3"/>
  <c r="AE52" i="3"/>
  <c r="AD52" i="3"/>
  <c r="AE51" i="3"/>
  <c r="AD51" i="3"/>
  <c r="AE50" i="3"/>
  <c r="AD50" i="3"/>
  <c r="AE49" i="3"/>
  <c r="AD49" i="3"/>
  <c r="AF49" i="3" s="1"/>
  <c r="AE48" i="3"/>
  <c r="AD48" i="3"/>
  <c r="AE47" i="3"/>
  <c r="AD47" i="3"/>
  <c r="AE46" i="3"/>
  <c r="AD46" i="3"/>
  <c r="AF46" i="3" s="1"/>
  <c r="AE45" i="3"/>
  <c r="AD45" i="3"/>
  <c r="AE44" i="3"/>
  <c r="AD44" i="3"/>
  <c r="AE43" i="3"/>
  <c r="AD43" i="3"/>
  <c r="AE42" i="3"/>
  <c r="AD42" i="3"/>
  <c r="AE41" i="3"/>
  <c r="AD41" i="3"/>
  <c r="AE40" i="3"/>
  <c r="AD40" i="3"/>
  <c r="AF40" i="3" s="1"/>
  <c r="AE39" i="3"/>
  <c r="AD39" i="3"/>
  <c r="AE38" i="3"/>
  <c r="AD38" i="3"/>
  <c r="AE37" i="3"/>
  <c r="AD37" i="3"/>
  <c r="AF37" i="3" s="1"/>
  <c r="AE36" i="3"/>
  <c r="AD36" i="3"/>
  <c r="AE35" i="3"/>
  <c r="AD35" i="3"/>
  <c r="AE34" i="3"/>
  <c r="AD34" i="3"/>
  <c r="AE33" i="3"/>
  <c r="AD33" i="3"/>
  <c r="AE32" i="3"/>
  <c r="AD32" i="3"/>
  <c r="AE29" i="3"/>
  <c r="AD29" i="3"/>
  <c r="AE28" i="3"/>
  <c r="AD28" i="3"/>
  <c r="AE27" i="3"/>
  <c r="AD27" i="3"/>
  <c r="AF27" i="3" s="1"/>
  <c r="AE26" i="3"/>
  <c r="AD26" i="3"/>
  <c r="AE25" i="3"/>
  <c r="AD25" i="3"/>
  <c r="AE24" i="3"/>
  <c r="AD24" i="3"/>
  <c r="AE23" i="3"/>
  <c r="AD23" i="3"/>
  <c r="AE22" i="3"/>
  <c r="AD22" i="3"/>
  <c r="AE21" i="3"/>
  <c r="AD21" i="3"/>
  <c r="AF21" i="3" s="1"/>
  <c r="AE20" i="3"/>
  <c r="AD20" i="3"/>
  <c r="AE19" i="3"/>
  <c r="AD19" i="3"/>
  <c r="AE18" i="3"/>
  <c r="AD18" i="3"/>
  <c r="AE17" i="3"/>
  <c r="AD17" i="3"/>
  <c r="AE16" i="3"/>
  <c r="AD16" i="3"/>
  <c r="AE15" i="3"/>
  <c r="AD15" i="3"/>
  <c r="AF15" i="3" s="1"/>
  <c r="AE14" i="3"/>
  <c r="AD14" i="3"/>
  <c r="AE13" i="3"/>
  <c r="AD13" i="3"/>
  <c r="AE12" i="3"/>
  <c r="AE30" i="3" s="1"/>
  <c r="AD12" i="3"/>
  <c r="AD30" i="3" s="1"/>
  <c r="Y69" i="3"/>
  <c r="X69" i="3"/>
  <c r="Y68" i="3"/>
  <c r="X68" i="3"/>
  <c r="Y67" i="3"/>
  <c r="X67" i="3"/>
  <c r="Z67" i="3" s="1"/>
  <c r="Y66" i="3"/>
  <c r="X66" i="3"/>
  <c r="Y65" i="3"/>
  <c r="X65" i="3"/>
  <c r="Z65" i="3" s="1"/>
  <c r="Y64" i="3"/>
  <c r="X64" i="3"/>
  <c r="Z64" i="3" s="1"/>
  <c r="Y63" i="3"/>
  <c r="X63" i="3"/>
  <c r="Y62" i="3"/>
  <c r="X62" i="3"/>
  <c r="Y61" i="3"/>
  <c r="X61" i="3"/>
  <c r="Y60" i="3"/>
  <c r="X60" i="3"/>
  <c r="Y59" i="3"/>
  <c r="X59" i="3"/>
  <c r="Y58" i="3"/>
  <c r="X58" i="3"/>
  <c r="Y57" i="3"/>
  <c r="X57" i="3"/>
  <c r="Y56" i="3"/>
  <c r="X56" i="3"/>
  <c r="Y55" i="3"/>
  <c r="X55" i="3"/>
  <c r="Y54" i="3"/>
  <c r="X54" i="3"/>
  <c r="Y53" i="3"/>
  <c r="X53" i="3"/>
  <c r="Y52" i="3"/>
  <c r="X52" i="3"/>
  <c r="Y51" i="3"/>
  <c r="X51" i="3"/>
  <c r="Y50" i="3"/>
  <c r="X50" i="3"/>
  <c r="Y49" i="3"/>
  <c r="X49" i="3"/>
  <c r="Z49" i="3" s="1"/>
  <c r="Y48" i="3"/>
  <c r="X48" i="3"/>
  <c r="Y47" i="3"/>
  <c r="X47" i="3"/>
  <c r="Y46" i="3"/>
  <c r="X46" i="3"/>
  <c r="Z46" i="3" s="1"/>
  <c r="Y45" i="3"/>
  <c r="X45" i="3"/>
  <c r="Y44" i="3"/>
  <c r="X44" i="3"/>
  <c r="Y43" i="3"/>
  <c r="X43" i="3"/>
  <c r="Y42" i="3"/>
  <c r="X42" i="3"/>
  <c r="Y41" i="3"/>
  <c r="X41" i="3"/>
  <c r="Y40" i="3"/>
  <c r="X40" i="3"/>
  <c r="Y39" i="3"/>
  <c r="X39" i="3"/>
  <c r="Y38" i="3"/>
  <c r="X38" i="3"/>
  <c r="Y37" i="3"/>
  <c r="X37" i="3"/>
  <c r="Z37" i="3" s="1"/>
  <c r="Y36" i="3"/>
  <c r="X36" i="3"/>
  <c r="Y35" i="3"/>
  <c r="X35" i="3"/>
  <c r="Y34" i="3"/>
  <c r="X34" i="3"/>
  <c r="Y33" i="3"/>
  <c r="X33" i="3"/>
  <c r="Y32" i="3"/>
  <c r="X32" i="3"/>
  <c r="Y29" i="3"/>
  <c r="X29" i="3"/>
  <c r="Y28" i="3"/>
  <c r="X28" i="3"/>
  <c r="Y27" i="3"/>
  <c r="X27" i="3"/>
  <c r="Y26" i="3"/>
  <c r="X26" i="3"/>
  <c r="Y25" i="3"/>
  <c r="X25" i="3"/>
  <c r="Y24" i="3"/>
  <c r="X24" i="3"/>
  <c r="Z24" i="3" s="1"/>
  <c r="Y23" i="3"/>
  <c r="X23" i="3"/>
  <c r="Y22" i="3"/>
  <c r="X22" i="3"/>
  <c r="Y21" i="3"/>
  <c r="X21" i="3"/>
  <c r="Y20" i="3"/>
  <c r="X20" i="3"/>
  <c r="Y19" i="3"/>
  <c r="X19" i="3"/>
  <c r="Y18" i="3"/>
  <c r="X18" i="3"/>
  <c r="Z18" i="3" s="1"/>
  <c r="Y17" i="3"/>
  <c r="X17" i="3"/>
  <c r="Y16" i="3"/>
  <c r="X16" i="3"/>
  <c r="Y15" i="3"/>
  <c r="X15" i="3"/>
  <c r="Z15" i="3" s="1"/>
  <c r="Y14" i="3"/>
  <c r="X14" i="3"/>
  <c r="Y13" i="3"/>
  <c r="X13" i="3"/>
  <c r="Y12" i="3"/>
  <c r="Y30" i="3" s="1"/>
  <c r="X12" i="3"/>
  <c r="X30" i="3" s="1"/>
  <c r="S69" i="3"/>
  <c r="R69" i="3"/>
  <c r="S68" i="3"/>
  <c r="R68" i="3"/>
  <c r="S67" i="3"/>
  <c r="R67" i="3"/>
  <c r="T67" i="3" s="1"/>
  <c r="S66" i="3"/>
  <c r="R66" i="3"/>
  <c r="S65" i="3"/>
  <c r="R65" i="3"/>
  <c r="S64" i="3"/>
  <c r="R64" i="3"/>
  <c r="T64" i="3" s="1"/>
  <c r="S63" i="3"/>
  <c r="R63" i="3"/>
  <c r="S62" i="3"/>
  <c r="R62" i="3"/>
  <c r="S61" i="3"/>
  <c r="R61" i="3"/>
  <c r="T61" i="3" s="1"/>
  <c r="S60" i="3"/>
  <c r="R60" i="3"/>
  <c r="S59" i="3"/>
  <c r="R59" i="3"/>
  <c r="S58" i="3"/>
  <c r="R58" i="3"/>
  <c r="T58" i="3" s="1"/>
  <c r="S57" i="3"/>
  <c r="R57" i="3"/>
  <c r="T57" i="3" s="1"/>
  <c r="S56" i="3"/>
  <c r="R56" i="3"/>
  <c r="S55" i="3"/>
  <c r="R55" i="3"/>
  <c r="S54" i="3"/>
  <c r="R54" i="3"/>
  <c r="S53" i="3"/>
  <c r="R53" i="3"/>
  <c r="S52" i="3"/>
  <c r="R52" i="3"/>
  <c r="T52" i="3" s="1"/>
  <c r="S51" i="3"/>
  <c r="R51" i="3"/>
  <c r="S50" i="3"/>
  <c r="R50" i="3"/>
  <c r="S49" i="3"/>
  <c r="R49" i="3"/>
  <c r="S48" i="3"/>
  <c r="R48" i="3"/>
  <c r="S47" i="3"/>
  <c r="R47" i="3"/>
  <c r="S46" i="3"/>
  <c r="R46" i="3"/>
  <c r="S45" i="3"/>
  <c r="R45" i="3"/>
  <c r="S44" i="3"/>
  <c r="R44" i="3"/>
  <c r="S43" i="3"/>
  <c r="R43" i="3"/>
  <c r="T43" i="3" s="1"/>
  <c r="S42" i="3"/>
  <c r="R42" i="3"/>
  <c r="S41" i="3"/>
  <c r="R41" i="3"/>
  <c r="S40" i="3"/>
  <c r="R40" i="3"/>
  <c r="T40" i="3" s="1"/>
  <c r="S39" i="3"/>
  <c r="R39" i="3"/>
  <c r="S38" i="3"/>
  <c r="R38" i="3"/>
  <c r="S37" i="3"/>
  <c r="R37" i="3"/>
  <c r="T37" i="3" s="1"/>
  <c r="S36" i="3"/>
  <c r="R36" i="3"/>
  <c r="S35" i="3"/>
  <c r="R35" i="3"/>
  <c r="S34" i="3"/>
  <c r="R34" i="3"/>
  <c r="T34" i="3" s="1"/>
  <c r="S33" i="3"/>
  <c r="R33" i="3"/>
  <c r="S32" i="3"/>
  <c r="R32" i="3"/>
  <c r="S29" i="3"/>
  <c r="R29" i="3"/>
  <c r="S28" i="3"/>
  <c r="R28" i="3"/>
  <c r="S27" i="3"/>
  <c r="R27" i="3"/>
  <c r="T27" i="3" s="1"/>
  <c r="S26" i="3"/>
  <c r="R26" i="3"/>
  <c r="S25" i="3"/>
  <c r="R25" i="3"/>
  <c r="S24" i="3"/>
  <c r="R24" i="3"/>
  <c r="S23" i="3"/>
  <c r="R23" i="3"/>
  <c r="S22" i="3"/>
  <c r="R22" i="3"/>
  <c r="S21" i="3"/>
  <c r="R21" i="3"/>
  <c r="T21" i="3" s="1"/>
  <c r="S20" i="3"/>
  <c r="R20" i="3"/>
  <c r="S19" i="3"/>
  <c r="R19" i="3"/>
  <c r="S18" i="3"/>
  <c r="R18" i="3"/>
  <c r="S17" i="3"/>
  <c r="R17" i="3"/>
  <c r="S16" i="3"/>
  <c r="R16" i="3"/>
  <c r="S15" i="3"/>
  <c r="R15" i="3"/>
  <c r="T15" i="3" s="1"/>
  <c r="S14" i="3"/>
  <c r="R14" i="3"/>
  <c r="S13" i="3"/>
  <c r="R13" i="3"/>
  <c r="S12" i="3"/>
  <c r="S30" i="3" s="1"/>
  <c r="R12" i="3"/>
  <c r="R30" i="3" s="1"/>
  <c r="M69" i="3"/>
  <c r="L69" i="3"/>
  <c r="N69" i="3" s="1"/>
  <c r="M68" i="3"/>
  <c r="L68" i="3"/>
  <c r="M67" i="3"/>
  <c r="L67" i="3"/>
  <c r="N67" i="3" s="1"/>
  <c r="M66" i="3"/>
  <c r="L66" i="3"/>
  <c r="M65" i="3"/>
  <c r="L65" i="3"/>
  <c r="M64" i="3"/>
  <c r="L64" i="3"/>
  <c r="N64" i="3" s="1"/>
  <c r="M63" i="3"/>
  <c r="L63" i="3"/>
  <c r="N63" i="3" s="1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N55" i="3" s="1"/>
  <c r="M54" i="3"/>
  <c r="L54" i="3"/>
  <c r="M53" i="3"/>
  <c r="L53" i="3"/>
  <c r="M52" i="3"/>
  <c r="L52" i="3"/>
  <c r="M51" i="3"/>
  <c r="L51" i="3"/>
  <c r="M50" i="3"/>
  <c r="L50" i="3"/>
  <c r="M49" i="3"/>
  <c r="L49" i="3"/>
  <c r="N49" i="3" s="1"/>
  <c r="M48" i="3"/>
  <c r="L48" i="3"/>
  <c r="M47" i="3"/>
  <c r="L47" i="3"/>
  <c r="M46" i="3"/>
  <c r="L46" i="3"/>
  <c r="N46" i="3" s="1"/>
  <c r="M45" i="3"/>
  <c r="L45" i="3"/>
  <c r="M44" i="3"/>
  <c r="L44" i="3"/>
  <c r="M43" i="3"/>
  <c r="L43" i="3"/>
  <c r="M42" i="3"/>
  <c r="L42" i="3"/>
  <c r="M41" i="3"/>
  <c r="L41" i="3"/>
  <c r="M40" i="3"/>
  <c r="L40" i="3"/>
  <c r="N40" i="3" s="1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29" i="3"/>
  <c r="L29" i="3"/>
  <c r="M28" i="3"/>
  <c r="L28" i="3"/>
  <c r="M27" i="3"/>
  <c r="L27" i="3"/>
  <c r="M26" i="3"/>
  <c r="L26" i="3"/>
  <c r="M25" i="3"/>
  <c r="L25" i="3"/>
  <c r="M24" i="3"/>
  <c r="L24" i="3"/>
  <c r="N24" i="3" s="1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M30" i="3" s="1"/>
  <c r="L12" i="3"/>
  <c r="L30" i="3" s="1"/>
  <c r="G69" i="3"/>
  <c r="F69" i="3"/>
  <c r="H69" i="3" s="1"/>
  <c r="G68" i="3"/>
  <c r="F68" i="3"/>
  <c r="G66" i="3"/>
  <c r="F66" i="3"/>
  <c r="G65" i="3"/>
  <c r="F65" i="3"/>
  <c r="H65" i="3" s="1"/>
  <c r="G63" i="3"/>
  <c r="F63" i="3"/>
  <c r="G61" i="3"/>
  <c r="F61" i="3"/>
  <c r="G58" i="3"/>
  <c r="F58" i="3"/>
  <c r="G57" i="3"/>
  <c r="F57" i="3"/>
  <c r="G56" i="3"/>
  <c r="F56" i="3"/>
  <c r="BZ56" i="3" s="1"/>
  <c r="G55" i="3"/>
  <c r="F55" i="3"/>
  <c r="G54" i="3"/>
  <c r="F54" i="3"/>
  <c r="G53" i="3"/>
  <c r="F53" i="3"/>
  <c r="G52" i="3"/>
  <c r="F52" i="3"/>
  <c r="G50" i="3"/>
  <c r="F50" i="3"/>
  <c r="G48" i="3"/>
  <c r="F48" i="3"/>
  <c r="G67" i="3"/>
  <c r="F67" i="3"/>
  <c r="G64" i="3"/>
  <c r="F64" i="3"/>
  <c r="G62" i="3"/>
  <c r="F62" i="3"/>
  <c r="G60" i="3"/>
  <c r="F60" i="3"/>
  <c r="G59" i="3"/>
  <c r="F59" i="3"/>
  <c r="H59" i="3" s="1"/>
  <c r="G51" i="3"/>
  <c r="F51" i="3"/>
  <c r="G49" i="3"/>
  <c r="F49" i="3"/>
  <c r="G47" i="3"/>
  <c r="F47" i="3"/>
  <c r="G42" i="3"/>
  <c r="F42" i="3"/>
  <c r="G41" i="3"/>
  <c r="F41" i="3"/>
  <c r="G40" i="3"/>
  <c r="F40" i="3"/>
  <c r="G39" i="3"/>
  <c r="F39" i="3"/>
  <c r="G37" i="3"/>
  <c r="F37" i="3"/>
  <c r="G33" i="3"/>
  <c r="F33" i="3"/>
  <c r="G46" i="3"/>
  <c r="F46" i="3"/>
  <c r="G45" i="3"/>
  <c r="F45" i="3"/>
  <c r="H45" i="3" s="1"/>
  <c r="G44" i="3"/>
  <c r="F44" i="3"/>
  <c r="G43" i="3"/>
  <c r="F43" i="3"/>
  <c r="G38" i="3"/>
  <c r="F38" i="3"/>
  <c r="G36" i="3"/>
  <c r="F36" i="3"/>
  <c r="G35" i="3"/>
  <c r="F35" i="3"/>
  <c r="G34" i="3"/>
  <c r="F34" i="3"/>
  <c r="H34" i="3" s="1"/>
  <c r="G32" i="3"/>
  <c r="F32" i="3"/>
  <c r="G29" i="3"/>
  <c r="F29" i="3"/>
  <c r="G28" i="3"/>
  <c r="F28" i="3"/>
  <c r="G27" i="3"/>
  <c r="F27" i="3"/>
  <c r="H27" i="3" s="1"/>
  <c r="G26" i="3"/>
  <c r="F26" i="3"/>
  <c r="G24" i="3"/>
  <c r="F24" i="3"/>
  <c r="G22" i="3"/>
  <c r="F22" i="3"/>
  <c r="G21" i="3"/>
  <c r="F21" i="3"/>
  <c r="H21" i="3" s="1"/>
  <c r="G20" i="3"/>
  <c r="F20" i="3"/>
  <c r="G18" i="3"/>
  <c r="F18" i="3"/>
  <c r="G16" i="3"/>
  <c r="F16" i="3"/>
  <c r="G14" i="3"/>
  <c r="F14" i="3"/>
  <c r="G25" i="3"/>
  <c r="F25" i="3"/>
  <c r="G23" i="3"/>
  <c r="F23" i="3"/>
  <c r="G19" i="3"/>
  <c r="F19" i="3"/>
  <c r="G17" i="3"/>
  <c r="F17" i="3"/>
  <c r="G15" i="3"/>
  <c r="F15" i="3"/>
  <c r="G13" i="3"/>
  <c r="F13" i="3"/>
  <c r="G12" i="3"/>
  <c r="F12" i="3"/>
  <c r="BV69" i="3"/>
  <c r="BS69" i="3"/>
  <c r="BR69" i="3"/>
  <c r="BQ69" i="3"/>
  <c r="BM69" i="3"/>
  <c r="BL69" i="3"/>
  <c r="BK69" i="3"/>
  <c r="BJ69" i="3"/>
  <c r="BG69" i="3"/>
  <c r="BA69" i="3"/>
  <c r="AZ69" i="3"/>
  <c r="AY69" i="3"/>
  <c r="AU69" i="3"/>
  <c r="AT69" i="3"/>
  <c r="AS69" i="3"/>
  <c r="AR69" i="3"/>
  <c r="AO69" i="3"/>
  <c r="AN69" i="3"/>
  <c r="AM69" i="3"/>
  <c r="AL69" i="3"/>
  <c r="AI69" i="3"/>
  <c r="AH69" i="3"/>
  <c r="AG69" i="3"/>
  <c r="AC69" i="3"/>
  <c r="AB69" i="3"/>
  <c r="AA69" i="3"/>
  <c r="Z69" i="3"/>
  <c r="W69" i="3"/>
  <c r="V69" i="3"/>
  <c r="U69" i="3"/>
  <c r="T69" i="3"/>
  <c r="Q69" i="3"/>
  <c r="P69" i="3"/>
  <c r="O69" i="3"/>
  <c r="K69" i="3"/>
  <c r="J69" i="3"/>
  <c r="I69" i="3"/>
  <c r="CA69" i="3"/>
  <c r="E69" i="3"/>
  <c r="D69" i="3"/>
  <c r="BX69" i="3" s="1"/>
  <c r="C69" i="3"/>
  <c r="BW69" i="3" s="1"/>
  <c r="BY69" i="3" s="1"/>
  <c r="BS68" i="3"/>
  <c r="BR68" i="3"/>
  <c r="BQ68" i="3"/>
  <c r="BP68" i="3"/>
  <c r="BM68" i="3"/>
  <c r="BL68" i="3"/>
  <c r="BK68" i="3"/>
  <c r="BJ68" i="3"/>
  <c r="BG68" i="3"/>
  <c r="BA68" i="3"/>
  <c r="AZ68" i="3"/>
  <c r="AY68" i="3"/>
  <c r="AU68" i="3"/>
  <c r="AT68" i="3"/>
  <c r="AS68" i="3"/>
  <c r="AR68" i="3"/>
  <c r="AO68" i="3"/>
  <c r="AN68" i="3"/>
  <c r="AM68" i="3"/>
  <c r="AL68" i="3"/>
  <c r="AI68" i="3"/>
  <c r="AH68" i="3"/>
  <c r="AG68" i="3"/>
  <c r="AF68" i="3"/>
  <c r="AC68" i="3"/>
  <c r="AB68" i="3"/>
  <c r="AA68" i="3"/>
  <c r="Z68" i="3"/>
  <c r="W68" i="3"/>
  <c r="V68" i="3"/>
  <c r="U68" i="3"/>
  <c r="T68" i="3"/>
  <c r="Q68" i="3"/>
  <c r="P68" i="3"/>
  <c r="O68" i="3"/>
  <c r="N68" i="3"/>
  <c r="K68" i="3"/>
  <c r="J68" i="3"/>
  <c r="I68" i="3"/>
  <c r="H68" i="3"/>
  <c r="E68" i="3"/>
  <c r="D68" i="3"/>
  <c r="BX68" i="3" s="1"/>
  <c r="C68" i="3"/>
  <c r="BW68" i="3" s="1"/>
  <c r="BS67" i="3"/>
  <c r="BR67" i="3"/>
  <c r="BQ67" i="3"/>
  <c r="BM67" i="3"/>
  <c r="BL67" i="3"/>
  <c r="BK67" i="3"/>
  <c r="BG67" i="3"/>
  <c r="BA67" i="3"/>
  <c r="AZ67" i="3"/>
  <c r="AY67" i="3"/>
  <c r="AU67" i="3"/>
  <c r="AT67" i="3"/>
  <c r="AS67" i="3"/>
  <c r="AO67" i="3"/>
  <c r="AN67" i="3"/>
  <c r="AM67" i="3"/>
  <c r="AI67" i="3"/>
  <c r="AH67" i="3"/>
  <c r="AG67" i="3"/>
  <c r="AC67" i="3"/>
  <c r="AB67" i="3"/>
  <c r="AA67" i="3"/>
  <c r="W67" i="3"/>
  <c r="V67" i="3"/>
  <c r="U67" i="3"/>
  <c r="P67" i="3"/>
  <c r="Q67" i="3" s="1"/>
  <c r="O67" i="3"/>
  <c r="K67" i="3"/>
  <c r="J67" i="3"/>
  <c r="I67" i="3"/>
  <c r="CA67" i="3"/>
  <c r="D67" i="3"/>
  <c r="E67" i="3" s="1"/>
  <c r="C67" i="3"/>
  <c r="BW67" i="3" s="1"/>
  <c r="BV66" i="3"/>
  <c r="BS66" i="3"/>
  <c r="BR66" i="3"/>
  <c r="BQ66" i="3"/>
  <c r="BP66" i="3"/>
  <c r="BL66" i="3"/>
  <c r="BM66" i="3" s="1"/>
  <c r="BK66" i="3"/>
  <c r="BJ66" i="3"/>
  <c r="BG66" i="3"/>
  <c r="AZ66" i="3"/>
  <c r="BA66" i="3" s="1"/>
  <c r="AY66" i="3"/>
  <c r="AX66" i="3"/>
  <c r="AT66" i="3"/>
  <c r="AU66" i="3" s="1"/>
  <c r="AS66" i="3"/>
  <c r="AR66" i="3"/>
  <c r="AN66" i="3"/>
  <c r="AO66" i="3" s="1"/>
  <c r="AM66" i="3"/>
  <c r="AL66" i="3"/>
  <c r="AH66" i="3"/>
  <c r="AI66" i="3" s="1"/>
  <c r="AG66" i="3"/>
  <c r="AF66" i="3"/>
  <c r="AB66" i="3"/>
  <c r="AC66" i="3" s="1"/>
  <c r="AA66" i="3"/>
  <c r="Z66" i="3"/>
  <c r="V66" i="3"/>
  <c r="W66" i="3" s="1"/>
  <c r="U66" i="3"/>
  <c r="T66" i="3"/>
  <c r="P66" i="3"/>
  <c r="Q66" i="3" s="1"/>
  <c r="O66" i="3"/>
  <c r="N66" i="3"/>
  <c r="J66" i="3"/>
  <c r="K66" i="3" s="1"/>
  <c r="I66" i="3"/>
  <c r="H66" i="3"/>
  <c r="D66" i="3"/>
  <c r="E66" i="3" s="1"/>
  <c r="C66" i="3"/>
  <c r="BW66" i="3" s="1"/>
  <c r="BR65" i="3"/>
  <c r="BS65" i="3" s="1"/>
  <c r="BQ65" i="3"/>
  <c r="BP65" i="3"/>
  <c r="BL65" i="3"/>
  <c r="BM65" i="3" s="1"/>
  <c r="BK65" i="3"/>
  <c r="BJ65" i="3"/>
  <c r="BG65" i="3"/>
  <c r="AZ65" i="3"/>
  <c r="BA65" i="3" s="1"/>
  <c r="AY65" i="3"/>
  <c r="AX65" i="3"/>
  <c r="AT65" i="3"/>
  <c r="AU65" i="3" s="1"/>
  <c r="AS65" i="3"/>
  <c r="AR65" i="3"/>
  <c r="AN65" i="3"/>
  <c r="AO65" i="3" s="1"/>
  <c r="AM65" i="3"/>
  <c r="AL65" i="3"/>
  <c r="AH65" i="3"/>
  <c r="AI65" i="3" s="1"/>
  <c r="AG65" i="3"/>
  <c r="AF65" i="3"/>
  <c r="AB65" i="3"/>
  <c r="AC65" i="3" s="1"/>
  <c r="AA65" i="3"/>
  <c r="V65" i="3"/>
  <c r="W65" i="3" s="1"/>
  <c r="U65" i="3"/>
  <c r="T65" i="3"/>
  <c r="P65" i="3"/>
  <c r="Q65" i="3" s="1"/>
  <c r="O65" i="3"/>
  <c r="N65" i="3"/>
  <c r="J65" i="3"/>
  <c r="K65" i="3" s="1"/>
  <c r="I65" i="3"/>
  <c r="D65" i="3"/>
  <c r="E65" i="3" s="1"/>
  <c r="C65" i="3"/>
  <c r="BW65" i="3" s="1"/>
  <c r="BR64" i="3"/>
  <c r="BQ64" i="3"/>
  <c r="BS64" i="3" s="1"/>
  <c r="BL64" i="3"/>
  <c r="BK64" i="3"/>
  <c r="BM64" i="3" s="1"/>
  <c r="BG64" i="3"/>
  <c r="AZ64" i="3"/>
  <c r="AY64" i="3"/>
  <c r="BA64" i="3" s="1"/>
  <c r="AT64" i="3"/>
  <c r="AS64" i="3"/>
  <c r="AU64" i="3" s="1"/>
  <c r="AN64" i="3"/>
  <c r="AM64" i="3"/>
  <c r="AO64" i="3" s="1"/>
  <c r="AH64" i="3"/>
  <c r="AG64" i="3"/>
  <c r="AI64" i="3" s="1"/>
  <c r="AB64" i="3"/>
  <c r="AA64" i="3"/>
  <c r="AC64" i="3" s="1"/>
  <c r="V64" i="3"/>
  <c r="U64" i="3"/>
  <c r="W64" i="3" s="1"/>
  <c r="P64" i="3"/>
  <c r="O64" i="3"/>
  <c r="Q64" i="3" s="1"/>
  <c r="J64" i="3"/>
  <c r="I64" i="3"/>
  <c r="K64" i="3" s="1"/>
  <c r="H64" i="3"/>
  <c r="CA64" i="3"/>
  <c r="D64" i="3"/>
  <c r="BX64" i="3" s="1"/>
  <c r="C64" i="3"/>
  <c r="BR63" i="3"/>
  <c r="BQ63" i="3"/>
  <c r="BS63" i="3" s="1"/>
  <c r="BP63" i="3"/>
  <c r="BL63" i="3"/>
  <c r="BK63" i="3"/>
  <c r="BM63" i="3" s="1"/>
  <c r="BJ63" i="3"/>
  <c r="BG63" i="3"/>
  <c r="AZ63" i="3"/>
  <c r="AY63" i="3"/>
  <c r="AX63" i="3"/>
  <c r="AT63" i="3"/>
  <c r="AS63" i="3"/>
  <c r="AU63" i="3" s="1"/>
  <c r="AR63" i="3"/>
  <c r="AN63" i="3"/>
  <c r="AM63" i="3"/>
  <c r="AL63" i="3"/>
  <c r="AH63" i="3"/>
  <c r="AG63" i="3"/>
  <c r="AI63" i="3" s="1"/>
  <c r="AF63" i="3"/>
  <c r="AB63" i="3"/>
  <c r="AA63" i="3"/>
  <c r="AC63" i="3" s="1"/>
  <c r="Z63" i="3"/>
  <c r="V63" i="3"/>
  <c r="U63" i="3"/>
  <c r="W63" i="3" s="1"/>
  <c r="P63" i="3"/>
  <c r="O63" i="3"/>
  <c r="J63" i="3"/>
  <c r="I63" i="3"/>
  <c r="K63" i="3" s="1"/>
  <c r="H63" i="3"/>
  <c r="D63" i="3"/>
  <c r="C63" i="3"/>
  <c r="BX62" i="3"/>
  <c r="BW62" i="3"/>
  <c r="BR62" i="3"/>
  <c r="BQ62" i="3"/>
  <c r="BS62" i="3" s="1"/>
  <c r="BP62" i="3"/>
  <c r="BL62" i="3"/>
  <c r="BK62" i="3"/>
  <c r="BM62" i="3" s="1"/>
  <c r="BG62" i="3"/>
  <c r="BA62" i="3"/>
  <c r="AZ62" i="3"/>
  <c r="AY62" i="3"/>
  <c r="AX62" i="3"/>
  <c r="AU62" i="3"/>
  <c r="AT62" i="3"/>
  <c r="AS62" i="3"/>
  <c r="AR62" i="3"/>
  <c r="AO62" i="3"/>
  <c r="AN62" i="3"/>
  <c r="AM62" i="3"/>
  <c r="AI62" i="3"/>
  <c r="AH62" i="3"/>
  <c r="AG62" i="3"/>
  <c r="AF62" i="3"/>
  <c r="AC62" i="3"/>
  <c r="AB62" i="3"/>
  <c r="AA62" i="3"/>
  <c r="W62" i="3"/>
  <c r="V62" i="3"/>
  <c r="U62" i="3"/>
  <c r="T62" i="3"/>
  <c r="Q62" i="3"/>
  <c r="P62" i="3"/>
  <c r="O62" i="3"/>
  <c r="N62" i="3"/>
  <c r="K62" i="3"/>
  <c r="J62" i="3"/>
  <c r="I62" i="3"/>
  <c r="E62" i="3"/>
  <c r="D62" i="3"/>
  <c r="C62" i="3"/>
  <c r="BS61" i="3"/>
  <c r="BR61" i="3"/>
  <c r="BQ61" i="3"/>
  <c r="BM61" i="3"/>
  <c r="BL61" i="3"/>
  <c r="BK61" i="3"/>
  <c r="BG61" i="3"/>
  <c r="BA61" i="3"/>
  <c r="AZ61" i="3"/>
  <c r="AY61" i="3"/>
  <c r="AU61" i="3"/>
  <c r="AT61" i="3"/>
  <c r="AS61" i="3"/>
  <c r="AO61" i="3"/>
  <c r="AN61" i="3"/>
  <c r="AM61" i="3"/>
  <c r="AI61" i="3"/>
  <c r="AH61" i="3"/>
  <c r="AG61" i="3"/>
  <c r="AC61" i="3"/>
  <c r="AB61" i="3"/>
  <c r="AA61" i="3"/>
  <c r="W61" i="3"/>
  <c r="V61" i="3"/>
  <c r="U61" i="3"/>
  <c r="Q61" i="3"/>
  <c r="P61" i="3"/>
  <c r="O61" i="3"/>
  <c r="CA61" i="3"/>
  <c r="K61" i="3"/>
  <c r="J61" i="3"/>
  <c r="I61" i="3"/>
  <c r="H61" i="3"/>
  <c r="E61" i="3"/>
  <c r="D61" i="3"/>
  <c r="BX61" i="3" s="1"/>
  <c r="C61" i="3"/>
  <c r="BW61" i="3" s="1"/>
  <c r="BS60" i="3"/>
  <c r="BR60" i="3"/>
  <c r="BQ60" i="3"/>
  <c r="BP60" i="3"/>
  <c r="BM60" i="3"/>
  <c r="BL60" i="3"/>
  <c r="BK60" i="3"/>
  <c r="BJ60" i="3"/>
  <c r="BG60" i="3"/>
  <c r="BD60" i="3"/>
  <c r="BA60" i="3"/>
  <c r="AZ60" i="3"/>
  <c r="AY60" i="3"/>
  <c r="AU60" i="3"/>
  <c r="AT60" i="3"/>
  <c r="AS60" i="3"/>
  <c r="AR60" i="3"/>
  <c r="AO60" i="3"/>
  <c r="AN60" i="3"/>
  <c r="AM60" i="3"/>
  <c r="AI60" i="3"/>
  <c r="AH60" i="3"/>
  <c r="AG60" i="3"/>
  <c r="AF60" i="3"/>
  <c r="AC60" i="3"/>
  <c r="AB60" i="3"/>
  <c r="AA60" i="3"/>
  <c r="Z60" i="3"/>
  <c r="W60" i="3"/>
  <c r="V60" i="3"/>
  <c r="U60" i="3"/>
  <c r="T60" i="3"/>
  <c r="Q60" i="3"/>
  <c r="P60" i="3"/>
  <c r="O60" i="3"/>
  <c r="K60" i="3"/>
  <c r="J60" i="3"/>
  <c r="I60" i="3"/>
  <c r="H60" i="3"/>
  <c r="E60" i="3"/>
  <c r="D60" i="3"/>
  <c r="BX60" i="3" s="1"/>
  <c r="C60" i="3"/>
  <c r="BW60" i="3" s="1"/>
  <c r="BS59" i="3"/>
  <c r="BR59" i="3"/>
  <c r="BQ59" i="3"/>
  <c r="BP59" i="3"/>
  <c r="BM59" i="3"/>
  <c r="BL59" i="3"/>
  <c r="BK59" i="3"/>
  <c r="BG59" i="3"/>
  <c r="BA59" i="3"/>
  <c r="AZ59" i="3"/>
  <c r="AY59" i="3"/>
  <c r="AX59" i="3"/>
  <c r="AU59" i="3"/>
  <c r="AT59" i="3"/>
  <c r="AS59" i="3"/>
  <c r="AR59" i="3"/>
  <c r="AO59" i="3"/>
  <c r="AN59" i="3"/>
  <c r="AM59" i="3"/>
  <c r="AI59" i="3"/>
  <c r="AH59" i="3"/>
  <c r="AG59" i="3"/>
  <c r="AF59" i="3"/>
  <c r="AC59" i="3"/>
  <c r="AB59" i="3"/>
  <c r="AA59" i="3"/>
  <c r="W59" i="3"/>
  <c r="V59" i="3"/>
  <c r="U59" i="3"/>
  <c r="Q59" i="3"/>
  <c r="P59" i="3"/>
  <c r="O59" i="3"/>
  <c r="N59" i="3"/>
  <c r="K59" i="3"/>
  <c r="J59" i="3"/>
  <c r="I59" i="3"/>
  <c r="E59" i="3"/>
  <c r="D59" i="3"/>
  <c r="BX59" i="3" s="1"/>
  <c r="C59" i="3"/>
  <c r="BW59" i="3" s="1"/>
  <c r="BS58" i="3"/>
  <c r="BR58" i="3"/>
  <c r="BQ58" i="3"/>
  <c r="BM58" i="3"/>
  <c r="BL58" i="3"/>
  <c r="BK58" i="3"/>
  <c r="BG58" i="3"/>
  <c r="BD58" i="3"/>
  <c r="BA58" i="3"/>
  <c r="AZ58" i="3"/>
  <c r="AY58" i="3"/>
  <c r="AU58" i="3"/>
  <c r="AT58" i="3"/>
  <c r="AS58" i="3"/>
  <c r="AO58" i="3"/>
  <c r="AN58" i="3"/>
  <c r="AM58" i="3"/>
  <c r="AL58" i="3"/>
  <c r="AI58" i="3"/>
  <c r="AH58" i="3"/>
  <c r="AG58" i="3"/>
  <c r="AC58" i="3"/>
  <c r="AB58" i="3"/>
  <c r="AA58" i="3"/>
  <c r="W58" i="3"/>
  <c r="V58" i="3"/>
  <c r="U58" i="3"/>
  <c r="Q58" i="3"/>
  <c r="P58" i="3"/>
  <c r="O58" i="3"/>
  <c r="K58" i="3"/>
  <c r="J58" i="3"/>
  <c r="I58" i="3"/>
  <c r="CA58" i="3"/>
  <c r="E58" i="3"/>
  <c r="D58" i="3"/>
  <c r="BX58" i="3" s="1"/>
  <c r="C58" i="3"/>
  <c r="BW58" i="3" s="1"/>
  <c r="BR57" i="3"/>
  <c r="BQ57" i="3"/>
  <c r="BS57" i="3" s="1"/>
  <c r="BP57" i="3"/>
  <c r="BL57" i="3"/>
  <c r="BK57" i="3"/>
  <c r="BM57" i="3" s="1"/>
  <c r="BG57" i="3"/>
  <c r="AZ57" i="3"/>
  <c r="AY57" i="3"/>
  <c r="BA57" i="3" s="1"/>
  <c r="AX57" i="3"/>
  <c r="AT57" i="3"/>
  <c r="AS57" i="3"/>
  <c r="AU57" i="3" s="1"/>
  <c r="AR57" i="3"/>
  <c r="AO57" i="3"/>
  <c r="AN57" i="3"/>
  <c r="AM57" i="3"/>
  <c r="AH57" i="3"/>
  <c r="AG57" i="3"/>
  <c r="AI57" i="3" s="1"/>
  <c r="AF57" i="3"/>
  <c r="AB57" i="3"/>
  <c r="AA57" i="3"/>
  <c r="AC57" i="3" s="1"/>
  <c r="W57" i="3"/>
  <c r="V57" i="3"/>
  <c r="U57" i="3"/>
  <c r="P57" i="3"/>
  <c r="O57" i="3"/>
  <c r="N57" i="3"/>
  <c r="J57" i="3"/>
  <c r="I57" i="3"/>
  <c r="K57" i="3" s="1"/>
  <c r="D57" i="3"/>
  <c r="C57" i="3"/>
  <c r="CA56" i="3"/>
  <c r="BV56" i="3"/>
  <c r="BR56" i="3"/>
  <c r="BQ56" i="3"/>
  <c r="BS56" i="3" s="1"/>
  <c r="BP56" i="3"/>
  <c r="BL56" i="3"/>
  <c r="BK56" i="3"/>
  <c r="BM56" i="3" s="1"/>
  <c r="BJ56" i="3"/>
  <c r="BG56" i="3"/>
  <c r="AZ56" i="3"/>
  <c r="AY56" i="3"/>
  <c r="BA56" i="3" s="1"/>
  <c r="AX56" i="3"/>
  <c r="AT56" i="3"/>
  <c r="AS56" i="3"/>
  <c r="AU56" i="3" s="1"/>
  <c r="AR56" i="3"/>
  <c r="AN56" i="3"/>
  <c r="AM56" i="3"/>
  <c r="AO56" i="3" s="1"/>
  <c r="AL56" i="3"/>
  <c r="AH56" i="3"/>
  <c r="AG56" i="3"/>
  <c r="AI56" i="3" s="1"/>
  <c r="AF56" i="3"/>
  <c r="AB56" i="3"/>
  <c r="AA56" i="3"/>
  <c r="AC56" i="3" s="1"/>
  <c r="Z56" i="3"/>
  <c r="V56" i="3"/>
  <c r="U56" i="3"/>
  <c r="W56" i="3" s="1"/>
  <c r="T56" i="3"/>
  <c r="P56" i="3"/>
  <c r="O56" i="3"/>
  <c r="Q56" i="3" s="1"/>
  <c r="N56" i="3"/>
  <c r="J56" i="3"/>
  <c r="I56" i="3"/>
  <c r="K56" i="3" s="1"/>
  <c r="D56" i="3"/>
  <c r="BX56" i="3" s="1"/>
  <c r="C56" i="3"/>
  <c r="E56" i="3" s="1"/>
  <c r="BR55" i="3"/>
  <c r="BQ55" i="3"/>
  <c r="BL55" i="3"/>
  <c r="BK55" i="3"/>
  <c r="BG55" i="3"/>
  <c r="AZ55" i="3"/>
  <c r="AY55" i="3"/>
  <c r="AT55" i="3"/>
  <c r="AS55" i="3"/>
  <c r="AN55" i="3"/>
  <c r="AM55" i="3"/>
  <c r="AO55" i="3" s="1"/>
  <c r="AH55" i="3"/>
  <c r="AG55" i="3"/>
  <c r="AB55" i="3"/>
  <c r="AA55" i="3"/>
  <c r="V55" i="3"/>
  <c r="U55" i="3"/>
  <c r="W55" i="3" s="1"/>
  <c r="P55" i="3"/>
  <c r="O55" i="3"/>
  <c r="J55" i="3"/>
  <c r="I55" i="3"/>
  <c r="CA55" i="3"/>
  <c r="D55" i="3"/>
  <c r="BX55" i="3" s="1"/>
  <c r="C55" i="3"/>
  <c r="E55" i="3" s="1"/>
  <c r="CA54" i="3"/>
  <c r="BV54" i="3"/>
  <c r="BR54" i="3"/>
  <c r="BQ54" i="3"/>
  <c r="BS54" i="3" s="1"/>
  <c r="BP54" i="3"/>
  <c r="BL54" i="3"/>
  <c r="BK54" i="3"/>
  <c r="BM54" i="3" s="1"/>
  <c r="BJ54" i="3"/>
  <c r="BG54" i="3"/>
  <c r="BD54" i="3"/>
  <c r="AZ54" i="3"/>
  <c r="AY54" i="3"/>
  <c r="BA54" i="3" s="1"/>
  <c r="AX54" i="3"/>
  <c r="AT54" i="3"/>
  <c r="AS54" i="3"/>
  <c r="AU54" i="3" s="1"/>
  <c r="AR54" i="3"/>
  <c r="AN54" i="3"/>
  <c r="AM54" i="3"/>
  <c r="AO54" i="3" s="1"/>
  <c r="AL54" i="3"/>
  <c r="AH54" i="3"/>
  <c r="AG54" i="3"/>
  <c r="AI54" i="3" s="1"/>
  <c r="AF54" i="3"/>
  <c r="AB54" i="3"/>
  <c r="AA54" i="3"/>
  <c r="AC54" i="3" s="1"/>
  <c r="Z54" i="3"/>
  <c r="V54" i="3"/>
  <c r="U54" i="3"/>
  <c r="W54" i="3" s="1"/>
  <c r="T54" i="3"/>
  <c r="P54" i="3"/>
  <c r="O54" i="3"/>
  <c r="Q54" i="3" s="1"/>
  <c r="N54" i="3"/>
  <c r="J54" i="3"/>
  <c r="I54" i="3"/>
  <c r="K54" i="3" s="1"/>
  <c r="D54" i="3"/>
  <c r="BX54" i="3" s="1"/>
  <c r="C54" i="3"/>
  <c r="E54" i="3" s="1"/>
  <c r="BR53" i="3"/>
  <c r="BQ53" i="3"/>
  <c r="BP53" i="3"/>
  <c r="BL53" i="3"/>
  <c r="BK53" i="3"/>
  <c r="BG53" i="3"/>
  <c r="AZ53" i="3"/>
  <c r="AY53" i="3"/>
  <c r="AX53" i="3"/>
  <c r="AT53" i="3"/>
  <c r="AS53" i="3"/>
  <c r="AN53" i="3"/>
  <c r="AM53" i="3"/>
  <c r="AO53" i="3" s="1"/>
  <c r="AH53" i="3"/>
  <c r="AG53" i="3"/>
  <c r="AF53" i="3"/>
  <c r="AB53" i="3"/>
  <c r="AA53" i="3"/>
  <c r="V53" i="3"/>
  <c r="U53" i="3"/>
  <c r="W53" i="3" s="1"/>
  <c r="P53" i="3"/>
  <c r="O53" i="3"/>
  <c r="N53" i="3"/>
  <c r="J53" i="3"/>
  <c r="I53" i="3"/>
  <c r="D53" i="3"/>
  <c r="C53" i="3"/>
  <c r="E53" i="3" s="1"/>
  <c r="BR52" i="3"/>
  <c r="BQ52" i="3"/>
  <c r="BL52" i="3"/>
  <c r="BK52" i="3"/>
  <c r="BM52" i="3" s="1"/>
  <c r="BD52" i="3"/>
  <c r="AZ52" i="3"/>
  <c r="AY52" i="3"/>
  <c r="AT52" i="3"/>
  <c r="AS52" i="3"/>
  <c r="AU52" i="3" s="1"/>
  <c r="AN52" i="3"/>
  <c r="AM52" i="3"/>
  <c r="AH52" i="3"/>
  <c r="AG52" i="3"/>
  <c r="AB52" i="3"/>
  <c r="AA52" i="3"/>
  <c r="AC52" i="3" s="1"/>
  <c r="V52" i="3"/>
  <c r="U52" i="3"/>
  <c r="P52" i="3"/>
  <c r="O52" i="3"/>
  <c r="CA52" i="3"/>
  <c r="J52" i="3"/>
  <c r="I52" i="3"/>
  <c r="K52" i="3" s="1"/>
  <c r="D52" i="3"/>
  <c r="BX52" i="3" s="1"/>
  <c r="C52" i="3"/>
  <c r="BR51" i="3"/>
  <c r="BQ51" i="3"/>
  <c r="BS51" i="3" s="1"/>
  <c r="BP51" i="3"/>
  <c r="BL51" i="3"/>
  <c r="BK51" i="3"/>
  <c r="BM51" i="3" s="1"/>
  <c r="BJ51" i="3"/>
  <c r="BX51" i="3"/>
  <c r="AZ51" i="3"/>
  <c r="AY51" i="3"/>
  <c r="BA51" i="3" s="1"/>
  <c r="AX51" i="3"/>
  <c r="AT51" i="3"/>
  <c r="AS51" i="3"/>
  <c r="AR51" i="3"/>
  <c r="AN51" i="3"/>
  <c r="AM51" i="3"/>
  <c r="AO51" i="3" s="1"/>
  <c r="AL51" i="3"/>
  <c r="AH51" i="3"/>
  <c r="AG51" i="3"/>
  <c r="AI51" i="3" s="1"/>
  <c r="AF51" i="3"/>
  <c r="AB51" i="3"/>
  <c r="AA51" i="3"/>
  <c r="AC51" i="3" s="1"/>
  <c r="Z51" i="3"/>
  <c r="V51" i="3"/>
  <c r="U51" i="3"/>
  <c r="W51" i="3" s="1"/>
  <c r="T51" i="3"/>
  <c r="P51" i="3"/>
  <c r="O51" i="3"/>
  <c r="Q51" i="3" s="1"/>
  <c r="N51" i="3"/>
  <c r="J51" i="3"/>
  <c r="I51" i="3"/>
  <c r="K51" i="3" s="1"/>
  <c r="H51" i="3"/>
  <c r="D51" i="3"/>
  <c r="C51" i="3"/>
  <c r="BV50" i="3"/>
  <c r="BR50" i="3"/>
  <c r="BQ50" i="3"/>
  <c r="BS50" i="3" s="1"/>
  <c r="BP50" i="3"/>
  <c r="BL50" i="3"/>
  <c r="BK50" i="3"/>
  <c r="BM50" i="3" s="1"/>
  <c r="BJ50" i="3"/>
  <c r="BG50" i="3"/>
  <c r="AZ50" i="3"/>
  <c r="AY50" i="3"/>
  <c r="BA50" i="3" s="1"/>
  <c r="AX50" i="3"/>
  <c r="AT50" i="3"/>
  <c r="AS50" i="3"/>
  <c r="AU50" i="3" s="1"/>
  <c r="AR50" i="3"/>
  <c r="AN50" i="3"/>
  <c r="AM50" i="3"/>
  <c r="AO50" i="3" s="1"/>
  <c r="AL50" i="3"/>
  <c r="AH50" i="3"/>
  <c r="AG50" i="3"/>
  <c r="AI50" i="3" s="1"/>
  <c r="AF50" i="3"/>
  <c r="AB50" i="3"/>
  <c r="AA50" i="3"/>
  <c r="AC50" i="3" s="1"/>
  <c r="Z50" i="3"/>
  <c r="V50" i="3"/>
  <c r="U50" i="3"/>
  <c r="W50" i="3" s="1"/>
  <c r="T50" i="3"/>
  <c r="P50" i="3"/>
  <c r="O50" i="3"/>
  <c r="Q50" i="3" s="1"/>
  <c r="CA50" i="3"/>
  <c r="N50" i="3"/>
  <c r="J50" i="3"/>
  <c r="I50" i="3"/>
  <c r="K50" i="3" s="1"/>
  <c r="D50" i="3"/>
  <c r="BX50" i="3" s="1"/>
  <c r="C50" i="3"/>
  <c r="E50" i="3" s="1"/>
  <c r="BR49" i="3"/>
  <c r="BQ49" i="3"/>
  <c r="BS49" i="3" s="1"/>
  <c r="BL49" i="3"/>
  <c r="BK49" i="3"/>
  <c r="BM49" i="3" s="1"/>
  <c r="BG49" i="3"/>
  <c r="BD49" i="3"/>
  <c r="AZ49" i="3"/>
  <c r="AY49" i="3"/>
  <c r="BA49" i="3" s="1"/>
  <c r="AT49" i="3"/>
  <c r="AS49" i="3"/>
  <c r="AU49" i="3" s="1"/>
  <c r="AN49" i="3"/>
  <c r="AM49" i="3"/>
  <c r="AO49" i="3" s="1"/>
  <c r="AH49" i="3"/>
  <c r="AG49" i="3"/>
  <c r="AI49" i="3" s="1"/>
  <c r="AB49" i="3"/>
  <c r="AA49" i="3"/>
  <c r="AC49" i="3" s="1"/>
  <c r="V49" i="3"/>
  <c r="U49" i="3"/>
  <c r="W49" i="3" s="1"/>
  <c r="T49" i="3"/>
  <c r="P49" i="3"/>
  <c r="O49" i="3"/>
  <c r="Q49" i="3" s="1"/>
  <c r="J49" i="3"/>
  <c r="I49" i="3"/>
  <c r="K49" i="3" s="1"/>
  <c r="CA49" i="3"/>
  <c r="D49" i="3"/>
  <c r="BX49" i="3" s="1"/>
  <c r="C49" i="3"/>
  <c r="E49" i="3" s="1"/>
  <c r="BR48" i="3"/>
  <c r="BQ48" i="3"/>
  <c r="BL48" i="3"/>
  <c r="BK48" i="3"/>
  <c r="AZ48" i="3"/>
  <c r="AY48" i="3"/>
  <c r="AT48" i="3"/>
  <c r="AS48" i="3"/>
  <c r="AN48" i="3"/>
  <c r="AM48" i="3"/>
  <c r="AH48" i="3"/>
  <c r="AG48" i="3"/>
  <c r="AB48" i="3"/>
  <c r="AA48" i="3"/>
  <c r="V48" i="3"/>
  <c r="U48" i="3"/>
  <c r="P48" i="3"/>
  <c r="O48" i="3"/>
  <c r="J48" i="3"/>
  <c r="I48" i="3"/>
  <c r="D48" i="3"/>
  <c r="BX48" i="3" s="1"/>
  <c r="C48" i="3"/>
  <c r="CA47" i="3"/>
  <c r="BV47" i="3"/>
  <c r="BR47" i="3"/>
  <c r="BQ47" i="3"/>
  <c r="BS47" i="3" s="1"/>
  <c r="BP47" i="3"/>
  <c r="BL47" i="3"/>
  <c r="BK47" i="3"/>
  <c r="BM47" i="3" s="1"/>
  <c r="BJ47" i="3"/>
  <c r="BG47" i="3"/>
  <c r="AZ47" i="3"/>
  <c r="AY47" i="3"/>
  <c r="BA47" i="3" s="1"/>
  <c r="AX47" i="3"/>
  <c r="AT47" i="3"/>
  <c r="AS47" i="3"/>
  <c r="AU47" i="3" s="1"/>
  <c r="AR47" i="3"/>
  <c r="AN47" i="3"/>
  <c r="AM47" i="3"/>
  <c r="AO47" i="3" s="1"/>
  <c r="AL47" i="3"/>
  <c r="AH47" i="3"/>
  <c r="AG47" i="3"/>
  <c r="AI47" i="3" s="1"/>
  <c r="AF47" i="3"/>
  <c r="AB47" i="3"/>
  <c r="AA47" i="3"/>
  <c r="AC47" i="3" s="1"/>
  <c r="Z47" i="3"/>
  <c r="V47" i="3"/>
  <c r="U47" i="3"/>
  <c r="W47" i="3" s="1"/>
  <c r="T47" i="3"/>
  <c r="P47" i="3"/>
  <c r="O47" i="3"/>
  <c r="Q47" i="3" s="1"/>
  <c r="N47" i="3"/>
  <c r="J47" i="3"/>
  <c r="I47" i="3"/>
  <c r="K47" i="3" s="1"/>
  <c r="D47" i="3"/>
  <c r="BX47" i="3" s="1"/>
  <c r="C47" i="3"/>
  <c r="E47" i="3" s="1"/>
  <c r="BV46" i="3"/>
  <c r="BR46" i="3"/>
  <c r="BQ46" i="3"/>
  <c r="BS46" i="3" s="1"/>
  <c r="BL46" i="3"/>
  <c r="BK46" i="3"/>
  <c r="BM46" i="3" s="1"/>
  <c r="BG46" i="3"/>
  <c r="BD46" i="3"/>
  <c r="AZ46" i="3"/>
  <c r="AY46" i="3"/>
  <c r="BA46" i="3" s="1"/>
  <c r="AT46" i="3"/>
  <c r="AS46" i="3"/>
  <c r="AU46" i="3" s="1"/>
  <c r="AN46" i="3"/>
  <c r="AM46" i="3"/>
  <c r="AO46" i="3" s="1"/>
  <c r="AH46" i="3"/>
  <c r="AG46" i="3"/>
  <c r="AI46" i="3" s="1"/>
  <c r="AB46" i="3"/>
  <c r="AA46" i="3"/>
  <c r="AC46" i="3" s="1"/>
  <c r="V46" i="3"/>
  <c r="U46" i="3"/>
  <c r="W46" i="3" s="1"/>
  <c r="T46" i="3"/>
  <c r="P46" i="3"/>
  <c r="O46" i="3"/>
  <c r="Q46" i="3" s="1"/>
  <c r="J46" i="3"/>
  <c r="I46" i="3"/>
  <c r="K46" i="3" s="1"/>
  <c r="CA46" i="3"/>
  <c r="H46" i="3"/>
  <c r="D46" i="3"/>
  <c r="BX46" i="3" s="1"/>
  <c r="C46" i="3"/>
  <c r="E46" i="3" s="1"/>
  <c r="BV45" i="3"/>
  <c r="BR45" i="3"/>
  <c r="BQ45" i="3"/>
  <c r="BS45" i="3" s="1"/>
  <c r="BP45" i="3"/>
  <c r="BL45" i="3"/>
  <c r="BK45" i="3"/>
  <c r="BM45" i="3" s="1"/>
  <c r="BJ45" i="3"/>
  <c r="BG45" i="3"/>
  <c r="AZ45" i="3"/>
  <c r="AY45" i="3"/>
  <c r="BA45" i="3" s="1"/>
  <c r="AX45" i="3"/>
  <c r="AT45" i="3"/>
  <c r="AS45" i="3"/>
  <c r="AU45" i="3" s="1"/>
  <c r="AR45" i="3"/>
  <c r="AN45" i="3"/>
  <c r="AM45" i="3"/>
  <c r="AO45" i="3" s="1"/>
  <c r="AI45" i="3"/>
  <c r="AH45" i="3"/>
  <c r="AG45" i="3"/>
  <c r="AF45" i="3"/>
  <c r="AB45" i="3"/>
  <c r="AA45" i="3"/>
  <c r="AC45" i="3" s="1"/>
  <c r="W45" i="3"/>
  <c r="V45" i="3"/>
  <c r="U45" i="3"/>
  <c r="T45" i="3"/>
  <c r="P45" i="3"/>
  <c r="Q45" i="3" s="1"/>
  <c r="O45" i="3"/>
  <c r="J45" i="3"/>
  <c r="I45" i="3"/>
  <c r="D45" i="3"/>
  <c r="BX45" i="3" s="1"/>
  <c r="C45" i="3"/>
  <c r="E45" i="3" s="1"/>
  <c r="CA44" i="3"/>
  <c r="BV44" i="3"/>
  <c r="BR44" i="3"/>
  <c r="BQ44" i="3"/>
  <c r="BL44" i="3"/>
  <c r="BK44" i="3"/>
  <c r="BM44" i="3" s="1"/>
  <c r="BJ44" i="3"/>
  <c r="BG44" i="3"/>
  <c r="AZ44" i="3"/>
  <c r="AY44" i="3"/>
  <c r="BA44" i="3" s="1"/>
  <c r="AX44" i="3"/>
  <c r="AT44" i="3"/>
  <c r="AS44" i="3"/>
  <c r="AU44" i="3" s="1"/>
  <c r="AO44" i="3"/>
  <c r="AN44" i="3"/>
  <c r="AM44" i="3"/>
  <c r="AL44" i="3"/>
  <c r="AH44" i="3"/>
  <c r="AG44" i="3"/>
  <c r="AB44" i="3"/>
  <c r="AA44" i="3"/>
  <c r="AC44" i="3" s="1"/>
  <c r="Z44" i="3"/>
  <c r="V44" i="3"/>
  <c r="W44" i="3" s="1"/>
  <c r="U44" i="3"/>
  <c r="P44" i="3"/>
  <c r="O44" i="3"/>
  <c r="Q44" i="3" s="1"/>
  <c r="N44" i="3"/>
  <c r="J44" i="3"/>
  <c r="I44" i="3"/>
  <c r="K44" i="3" s="1"/>
  <c r="E44" i="3"/>
  <c r="D44" i="3"/>
  <c r="C44" i="3"/>
  <c r="BS43" i="3"/>
  <c r="BR43" i="3"/>
  <c r="BQ43" i="3"/>
  <c r="BL43" i="3"/>
  <c r="BM43" i="3" s="1"/>
  <c r="BK43" i="3"/>
  <c r="BG43" i="3"/>
  <c r="BD43" i="3"/>
  <c r="AZ43" i="3"/>
  <c r="AY43" i="3"/>
  <c r="BA43" i="3" s="1"/>
  <c r="AU43" i="3"/>
  <c r="AT43" i="3"/>
  <c r="AS43" i="3"/>
  <c r="AR43" i="3"/>
  <c r="AN43" i="3"/>
  <c r="AM43" i="3"/>
  <c r="AI43" i="3"/>
  <c r="AH43" i="3"/>
  <c r="AG43" i="3"/>
  <c r="AF43" i="3"/>
  <c r="AB43" i="3"/>
  <c r="AC43" i="3" s="1"/>
  <c r="AA43" i="3"/>
  <c r="V43" i="3"/>
  <c r="U43" i="3"/>
  <c r="W43" i="3" s="1"/>
  <c r="P43" i="3"/>
  <c r="O43" i="3"/>
  <c r="Q43" i="3" s="1"/>
  <c r="K43" i="3"/>
  <c r="J43" i="3"/>
  <c r="I43" i="3"/>
  <c r="CA43" i="3"/>
  <c r="H43" i="3"/>
  <c r="D43" i="3"/>
  <c r="BX43" i="3" s="1"/>
  <c r="C43" i="3"/>
  <c r="BW42" i="3"/>
  <c r="BV42" i="3"/>
  <c r="BR42" i="3"/>
  <c r="BS42" i="3" s="1"/>
  <c r="BQ42" i="3"/>
  <c r="BL42" i="3"/>
  <c r="BK42" i="3"/>
  <c r="BM42" i="3" s="1"/>
  <c r="BJ42" i="3"/>
  <c r="BG42" i="3"/>
  <c r="BA42" i="3"/>
  <c r="AZ42" i="3"/>
  <c r="AY42" i="3"/>
  <c r="AX42" i="3"/>
  <c r="AT42" i="3"/>
  <c r="AS42" i="3"/>
  <c r="AU42" i="3" s="1"/>
  <c r="AO42" i="3"/>
  <c r="AN42" i="3"/>
  <c r="AM42" i="3"/>
  <c r="AL42" i="3"/>
  <c r="AH42" i="3"/>
  <c r="AI42" i="3" s="1"/>
  <c r="AG42" i="3"/>
  <c r="AB42" i="3"/>
  <c r="AA42" i="3"/>
  <c r="AC42" i="3" s="1"/>
  <c r="Z42" i="3"/>
  <c r="V42" i="3"/>
  <c r="U42" i="3"/>
  <c r="W42" i="3" s="1"/>
  <c r="Q42" i="3"/>
  <c r="P42" i="3"/>
  <c r="O42" i="3"/>
  <c r="N42" i="3"/>
  <c r="J42" i="3"/>
  <c r="I42" i="3"/>
  <c r="K42" i="3" s="1"/>
  <c r="E42" i="3"/>
  <c r="D42" i="3"/>
  <c r="BX42" i="3" s="1"/>
  <c r="C42" i="3"/>
  <c r="BX41" i="3"/>
  <c r="BR41" i="3"/>
  <c r="BQ41" i="3"/>
  <c r="BS41" i="3" s="1"/>
  <c r="BL41" i="3"/>
  <c r="BK41" i="3"/>
  <c r="BM41" i="3" s="1"/>
  <c r="BG41" i="3"/>
  <c r="BA41" i="3"/>
  <c r="AZ41" i="3"/>
  <c r="AY41" i="3"/>
  <c r="AX41" i="3"/>
  <c r="AU41" i="3"/>
  <c r="AT41" i="3"/>
  <c r="AS41" i="3"/>
  <c r="AR41" i="3"/>
  <c r="AO41" i="3"/>
  <c r="AN41" i="3"/>
  <c r="AM41" i="3"/>
  <c r="AL41" i="3"/>
  <c r="AI41" i="3"/>
  <c r="AH41" i="3"/>
  <c r="AG41" i="3"/>
  <c r="AF41" i="3"/>
  <c r="AC41" i="3"/>
  <c r="AB41" i="3"/>
  <c r="AA41" i="3"/>
  <c r="Z41" i="3"/>
  <c r="W41" i="3"/>
  <c r="V41" i="3"/>
  <c r="U41" i="3"/>
  <c r="T41" i="3"/>
  <c r="Q41" i="3"/>
  <c r="P41" i="3"/>
  <c r="O41" i="3"/>
  <c r="N41" i="3"/>
  <c r="K41" i="3"/>
  <c r="J41" i="3"/>
  <c r="I41" i="3"/>
  <c r="E41" i="3"/>
  <c r="D41" i="3"/>
  <c r="C41" i="3"/>
  <c r="BW41" i="3" s="1"/>
  <c r="BS40" i="3"/>
  <c r="BR40" i="3"/>
  <c r="BQ40" i="3"/>
  <c r="BM40" i="3"/>
  <c r="BL40" i="3"/>
  <c r="BK40" i="3"/>
  <c r="BG40" i="3"/>
  <c r="BD40" i="3"/>
  <c r="BA40" i="3"/>
  <c r="AZ40" i="3"/>
  <c r="AY40" i="3"/>
  <c r="AX40" i="3"/>
  <c r="AU40" i="3"/>
  <c r="AT40" i="3"/>
  <c r="AS40" i="3"/>
  <c r="AR40" i="3"/>
  <c r="AO40" i="3"/>
  <c r="AN40" i="3"/>
  <c r="AM40" i="3"/>
  <c r="AI40" i="3"/>
  <c r="AH40" i="3"/>
  <c r="AG40" i="3"/>
  <c r="AC40" i="3"/>
  <c r="AB40" i="3"/>
  <c r="AA40" i="3"/>
  <c r="Z40" i="3"/>
  <c r="W40" i="3"/>
  <c r="V40" i="3"/>
  <c r="U40" i="3"/>
  <c r="Q40" i="3"/>
  <c r="P40" i="3"/>
  <c r="O40" i="3"/>
  <c r="K40" i="3"/>
  <c r="J40" i="3"/>
  <c r="I40" i="3"/>
  <c r="H40" i="3"/>
  <c r="E40" i="3"/>
  <c r="D40" i="3"/>
  <c r="BX40" i="3" s="1"/>
  <c r="C40" i="3"/>
  <c r="BW40" i="3" s="1"/>
  <c r="BY40" i="3" s="1"/>
  <c r="BV39" i="3"/>
  <c r="BS39" i="3"/>
  <c r="BR39" i="3"/>
  <c r="BQ39" i="3"/>
  <c r="BP39" i="3"/>
  <c r="BM39" i="3"/>
  <c r="BL39" i="3"/>
  <c r="BK39" i="3"/>
  <c r="BJ39" i="3"/>
  <c r="BG39" i="3"/>
  <c r="BA39" i="3"/>
  <c r="AZ39" i="3"/>
  <c r="AY39" i="3"/>
  <c r="AX39" i="3"/>
  <c r="AU39" i="3"/>
  <c r="AT39" i="3"/>
  <c r="AS39" i="3"/>
  <c r="AR39" i="3"/>
  <c r="AO39" i="3"/>
  <c r="AN39" i="3"/>
  <c r="AM39" i="3"/>
  <c r="AL39" i="3"/>
  <c r="AI39" i="3"/>
  <c r="AH39" i="3"/>
  <c r="AG39" i="3"/>
  <c r="AF39" i="3"/>
  <c r="AC39" i="3"/>
  <c r="AB39" i="3"/>
  <c r="AA39" i="3"/>
  <c r="Z39" i="3"/>
  <c r="W39" i="3"/>
  <c r="V39" i="3"/>
  <c r="U39" i="3"/>
  <c r="T39" i="3"/>
  <c r="Q39" i="3"/>
  <c r="P39" i="3"/>
  <c r="O39" i="3"/>
  <c r="N39" i="3"/>
  <c r="K39" i="3"/>
  <c r="J39" i="3"/>
  <c r="I39" i="3"/>
  <c r="BZ39" i="3"/>
  <c r="E39" i="3"/>
  <c r="D39" i="3"/>
  <c r="BX39" i="3" s="1"/>
  <c r="C39" i="3"/>
  <c r="BW39" i="3" s="1"/>
  <c r="BV38" i="3"/>
  <c r="BS38" i="3"/>
  <c r="BR38" i="3"/>
  <c r="BQ38" i="3"/>
  <c r="BP38" i="3"/>
  <c r="BM38" i="3"/>
  <c r="BL38" i="3"/>
  <c r="BK38" i="3"/>
  <c r="BJ38" i="3"/>
  <c r="BG38" i="3"/>
  <c r="BA38" i="3"/>
  <c r="AZ38" i="3"/>
  <c r="AY38" i="3"/>
  <c r="AX38" i="3"/>
  <c r="AU38" i="3"/>
  <c r="AT38" i="3"/>
  <c r="AS38" i="3"/>
  <c r="AR38" i="3"/>
  <c r="AO38" i="3"/>
  <c r="AN38" i="3"/>
  <c r="AM38" i="3"/>
  <c r="AL38" i="3"/>
  <c r="AI38" i="3"/>
  <c r="AH38" i="3"/>
  <c r="AG38" i="3"/>
  <c r="AF38" i="3"/>
  <c r="AC38" i="3"/>
  <c r="AB38" i="3"/>
  <c r="AA38" i="3"/>
  <c r="Z38" i="3"/>
  <c r="W38" i="3"/>
  <c r="V38" i="3"/>
  <c r="U38" i="3"/>
  <c r="T38" i="3"/>
  <c r="Q38" i="3"/>
  <c r="P38" i="3"/>
  <c r="O38" i="3"/>
  <c r="N38" i="3"/>
  <c r="K38" i="3"/>
  <c r="J38" i="3"/>
  <c r="I38" i="3"/>
  <c r="E38" i="3"/>
  <c r="D38" i="3"/>
  <c r="BX38" i="3" s="1"/>
  <c r="C38" i="3"/>
  <c r="BW38" i="3" s="1"/>
  <c r="BV37" i="3"/>
  <c r="BS37" i="3"/>
  <c r="BR37" i="3"/>
  <c r="BQ37" i="3"/>
  <c r="BM37" i="3"/>
  <c r="BL37" i="3"/>
  <c r="BK37" i="3"/>
  <c r="BG37" i="3"/>
  <c r="BD37" i="3"/>
  <c r="BA37" i="3"/>
  <c r="AZ37" i="3"/>
  <c r="AY37" i="3"/>
  <c r="AU37" i="3"/>
  <c r="AT37" i="3"/>
  <c r="AS37" i="3"/>
  <c r="AO37" i="3"/>
  <c r="AN37" i="3"/>
  <c r="AM37" i="3"/>
  <c r="AI37" i="3"/>
  <c r="AH37" i="3"/>
  <c r="AG37" i="3"/>
  <c r="AC37" i="3"/>
  <c r="AB37" i="3"/>
  <c r="AA37" i="3"/>
  <c r="W37" i="3"/>
  <c r="V37" i="3"/>
  <c r="U37" i="3"/>
  <c r="Q37" i="3"/>
  <c r="P37" i="3"/>
  <c r="O37" i="3"/>
  <c r="K37" i="3"/>
  <c r="J37" i="3"/>
  <c r="I37" i="3"/>
  <c r="H37" i="3"/>
  <c r="E37" i="3"/>
  <c r="D37" i="3"/>
  <c r="BX37" i="3" s="1"/>
  <c r="C37" i="3"/>
  <c r="BW37" i="3" s="1"/>
  <c r="BY37" i="3" s="1"/>
  <c r="BV36" i="3"/>
  <c r="BS36" i="3"/>
  <c r="BR36" i="3"/>
  <c r="BQ36" i="3"/>
  <c r="BP36" i="3"/>
  <c r="BM36" i="3"/>
  <c r="BL36" i="3"/>
  <c r="BK36" i="3"/>
  <c r="BJ36" i="3"/>
  <c r="BG36" i="3"/>
  <c r="BA36" i="3"/>
  <c r="AZ36" i="3"/>
  <c r="AY36" i="3"/>
  <c r="AX36" i="3"/>
  <c r="AU36" i="3"/>
  <c r="AT36" i="3"/>
  <c r="AS36" i="3"/>
  <c r="AR36" i="3"/>
  <c r="AO36" i="3"/>
  <c r="AN36" i="3"/>
  <c r="AM36" i="3"/>
  <c r="AL36" i="3"/>
  <c r="AI36" i="3"/>
  <c r="AH36" i="3"/>
  <c r="AG36" i="3"/>
  <c r="AF36" i="3"/>
  <c r="AC36" i="3"/>
  <c r="AB36" i="3"/>
  <c r="AA36" i="3"/>
  <c r="Z36" i="3"/>
  <c r="W36" i="3"/>
  <c r="V36" i="3"/>
  <c r="U36" i="3"/>
  <c r="T36" i="3"/>
  <c r="Q36" i="3"/>
  <c r="P36" i="3"/>
  <c r="O36" i="3"/>
  <c r="N36" i="3"/>
  <c r="K36" i="3"/>
  <c r="J36" i="3"/>
  <c r="I36" i="3"/>
  <c r="E36" i="3"/>
  <c r="D36" i="3"/>
  <c r="BX36" i="3" s="1"/>
  <c r="C36" i="3"/>
  <c r="BW36" i="3" s="1"/>
  <c r="BY36" i="3" s="1"/>
  <c r="BV35" i="3"/>
  <c r="BS35" i="3"/>
  <c r="BR35" i="3"/>
  <c r="BQ35" i="3"/>
  <c r="BP35" i="3"/>
  <c r="BM35" i="3"/>
  <c r="BL35" i="3"/>
  <c r="BK35" i="3"/>
  <c r="BJ35" i="3"/>
  <c r="BG35" i="3"/>
  <c r="BA35" i="3"/>
  <c r="AZ35" i="3"/>
  <c r="AY35" i="3"/>
  <c r="AX35" i="3"/>
  <c r="AU35" i="3"/>
  <c r="AT35" i="3"/>
  <c r="AS35" i="3"/>
  <c r="AR35" i="3"/>
  <c r="AN35" i="3"/>
  <c r="AM35" i="3"/>
  <c r="AO35" i="3" s="1"/>
  <c r="AL35" i="3"/>
  <c r="AI35" i="3"/>
  <c r="AH35" i="3"/>
  <c r="AG35" i="3"/>
  <c r="AF35" i="3"/>
  <c r="AC35" i="3"/>
  <c r="AB35" i="3"/>
  <c r="AA35" i="3"/>
  <c r="Z35" i="3"/>
  <c r="V35" i="3"/>
  <c r="U35" i="3"/>
  <c r="W35" i="3" s="1"/>
  <c r="T35" i="3"/>
  <c r="P35" i="3"/>
  <c r="O35" i="3"/>
  <c r="Q35" i="3" s="1"/>
  <c r="N35" i="3"/>
  <c r="K35" i="3"/>
  <c r="J35" i="3"/>
  <c r="I35" i="3"/>
  <c r="D35" i="3"/>
  <c r="BX35" i="3" s="1"/>
  <c r="C35" i="3"/>
  <c r="BR34" i="3"/>
  <c r="BQ34" i="3"/>
  <c r="BS34" i="3" s="1"/>
  <c r="BM34" i="3"/>
  <c r="BL34" i="3"/>
  <c r="BK34" i="3"/>
  <c r="BG34" i="3"/>
  <c r="BD34" i="3"/>
  <c r="BA34" i="3"/>
  <c r="AZ34" i="3"/>
  <c r="AY34" i="3"/>
  <c r="AU34" i="3"/>
  <c r="AT34" i="3"/>
  <c r="AS34" i="3"/>
  <c r="AR34" i="3"/>
  <c r="AN34" i="3"/>
  <c r="AM34" i="3"/>
  <c r="AO34" i="3" s="1"/>
  <c r="AI34" i="3"/>
  <c r="AH34" i="3"/>
  <c r="AG34" i="3"/>
  <c r="AF34" i="3"/>
  <c r="AC34" i="3"/>
  <c r="AB34" i="3"/>
  <c r="AA34" i="3"/>
  <c r="V34" i="3"/>
  <c r="U34" i="3"/>
  <c r="W34" i="3" s="1"/>
  <c r="Q34" i="3"/>
  <c r="P34" i="3"/>
  <c r="O34" i="3"/>
  <c r="K34" i="3"/>
  <c r="J34" i="3"/>
  <c r="I34" i="3"/>
  <c r="D34" i="3"/>
  <c r="BX34" i="3" s="1"/>
  <c r="C34" i="3"/>
  <c r="BW34" i="3" s="1"/>
  <c r="BV33" i="3"/>
  <c r="BS33" i="3"/>
  <c r="BR33" i="3"/>
  <c r="BQ33" i="3"/>
  <c r="BM33" i="3"/>
  <c r="BL33" i="3"/>
  <c r="BK33" i="3"/>
  <c r="BJ33" i="3"/>
  <c r="BG33" i="3"/>
  <c r="BA33" i="3"/>
  <c r="AZ33" i="3"/>
  <c r="AY33" i="3"/>
  <c r="AX33" i="3"/>
  <c r="AU33" i="3"/>
  <c r="AT33" i="3"/>
  <c r="AS33" i="3"/>
  <c r="AN33" i="3"/>
  <c r="AM33" i="3"/>
  <c r="AO33" i="3" s="1"/>
  <c r="AL33" i="3"/>
  <c r="AI33" i="3"/>
  <c r="AH33" i="3"/>
  <c r="AG33" i="3"/>
  <c r="AC33" i="3"/>
  <c r="AB33" i="3"/>
  <c r="AA33" i="3"/>
  <c r="Z33" i="3"/>
  <c r="V33" i="3"/>
  <c r="U33" i="3"/>
  <c r="W33" i="3" s="1"/>
  <c r="P33" i="3"/>
  <c r="O33" i="3"/>
  <c r="Q33" i="3" s="1"/>
  <c r="N33" i="3"/>
  <c r="K33" i="3"/>
  <c r="J33" i="3"/>
  <c r="I33" i="3"/>
  <c r="CA33" i="3"/>
  <c r="E33" i="3"/>
  <c r="D33" i="3"/>
  <c r="BX33" i="3" s="1"/>
  <c r="C33" i="3"/>
  <c r="BW33" i="3" s="1"/>
  <c r="BU70" i="3"/>
  <c r="BS32" i="3"/>
  <c r="BR32" i="3"/>
  <c r="BQ32" i="3"/>
  <c r="BQ70" i="3" s="1"/>
  <c r="BM32" i="3"/>
  <c r="BL32" i="3"/>
  <c r="BK32" i="3"/>
  <c r="BG32" i="3"/>
  <c r="AZ32" i="3"/>
  <c r="AZ70" i="3" s="1"/>
  <c r="AY32" i="3"/>
  <c r="AT32" i="3"/>
  <c r="AT70" i="3" s="1"/>
  <c r="AS32" i="3"/>
  <c r="AS70" i="3" s="1"/>
  <c r="AN32" i="3"/>
  <c r="AN70" i="3" s="1"/>
  <c r="AM32" i="3"/>
  <c r="AH32" i="3"/>
  <c r="AG32" i="3"/>
  <c r="AG70" i="3" s="1"/>
  <c r="AE70" i="3"/>
  <c r="AB32" i="3"/>
  <c r="AA32" i="3"/>
  <c r="Y70" i="3"/>
  <c r="V32" i="3"/>
  <c r="U32" i="3"/>
  <c r="U70" i="3" s="1"/>
  <c r="P32" i="3"/>
  <c r="P70" i="3" s="1"/>
  <c r="O32" i="3"/>
  <c r="M70" i="3"/>
  <c r="K32" i="3"/>
  <c r="J32" i="3"/>
  <c r="J70" i="3" s="1"/>
  <c r="I32" i="3"/>
  <c r="D32" i="3"/>
  <c r="C32" i="3"/>
  <c r="BS29" i="3"/>
  <c r="BR29" i="3"/>
  <c r="BQ29" i="3"/>
  <c r="BP29" i="3"/>
  <c r="BL29" i="3"/>
  <c r="BK29" i="3"/>
  <c r="BM29" i="3" s="1"/>
  <c r="BG29" i="3"/>
  <c r="BD29" i="3"/>
  <c r="AZ29" i="3"/>
  <c r="BA29" i="3" s="1"/>
  <c r="AY29" i="3"/>
  <c r="AT29" i="3"/>
  <c r="AS29" i="3"/>
  <c r="AR29" i="3"/>
  <c r="AN29" i="3"/>
  <c r="AO29" i="3" s="1"/>
  <c r="AM29" i="3"/>
  <c r="AI29" i="3"/>
  <c r="AH29" i="3"/>
  <c r="AG29" i="3"/>
  <c r="AF29" i="3"/>
  <c r="AB29" i="3"/>
  <c r="AA29" i="3"/>
  <c r="AC29" i="3" s="1"/>
  <c r="W29" i="3"/>
  <c r="V29" i="3"/>
  <c r="U29" i="3"/>
  <c r="T29" i="3"/>
  <c r="P29" i="3"/>
  <c r="Q29" i="3" s="1"/>
  <c r="O29" i="3"/>
  <c r="CA29" i="3"/>
  <c r="J29" i="3"/>
  <c r="I29" i="3"/>
  <c r="K29" i="3" s="1"/>
  <c r="H29" i="3"/>
  <c r="D29" i="3"/>
  <c r="E29" i="3" s="1"/>
  <c r="C29" i="3"/>
  <c r="BV28" i="3"/>
  <c r="BR28" i="3"/>
  <c r="BQ28" i="3"/>
  <c r="BS28" i="3" s="1"/>
  <c r="BM28" i="3"/>
  <c r="BL28" i="3"/>
  <c r="BK28" i="3"/>
  <c r="BJ28" i="3"/>
  <c r="BG28" i="3"/>
  <c r="AZ28" i="3"/>
  <c r="AY28" i="3"/>
  <c r="BA28" i="3" s="1"/>
  <c r="AX28" i="3"/>
  <c r="AT28" i="3"/>
  <c r="AU28" i="3" s="1"/>
  <c r="AS28" i="3"/>
  <c r="AO28" i="3"/>
  <c r="AN28" i="3"/>
  <c r="AM28" i="3"/>
  <c r="AL28" i="3"/>
  <c r="AH28" i="3"/>
  <c r="AG28" i="3"/>
  <c r="AI28" i="3" s="1"/>
  <c r="AC28" i="3"/>
  <c r="AB28" i="3"/>
  <c r="AA28" i="3"/>
  <c r="Z28" i="3"/>
  <c r="V28" i="3"/>
  <c r="W28" i="3" s="1"/>
  <c r="U28" i="3"/>
  <c r="P28" i="3"/>
  <c r="O28" i="3"/>
  <c r="Q28" i="3" s="1"/>
  <c r="N28" i="3"/>
  <c r="J28" i="3"/>
  <c r="K28" i="3" s="1"/>
  <c r="I28" i="3"/>
  <c r="CA28" i="3"/>
  <c r="E28" i="3"/>
  <c r="D28" i="3"/>
  <c r="BX28" i="3" s="1"/>
  <c r="C28" i="3"/>
  <c r="BS27" i="3"/>
  <c r="BR27" i="3"/>
  <c r="BQ27" i="3"/>
  <c r="BL27" i="3"/>
  <c r="BM27" i="3" s="1"/>
  <c r="BK27" i="3"/>
  <c r="BG27" i="3"/>
  <c r="BD27" i="3"/>
  <c r="AZ27" i="3"/>
  <c r="BA27" i="3" s="1"/>
  <c r="AY27" i="3"/>
  <c r="AU27" i="3"/>
  <c r="AT27" i="3"/>
  <c r="AS27" i="3"/>
  <c r="AN27" i="3"/>
  <c r="AM27" i="3"/>
  <c r="AO27" i="3" s="1"/>
  <c r="AI27" i="3"/>
  <c r="AH27" i="3"/>
  <c r="AG27" i="3"/>
  <c r="AB27" i="3"/>
  <c r="AC27" i="3" s="1"/>
  <c r="AA27" i="3"/>
  <c r="V27" i="3"/>
  <c r="U27" i="3"/>
  <c r="W27" i="3" s="1"/>
  <c r="P27" i="3"/>
  <c r="Q27" i="3" s="1"/>
  <c r="O27" i="3"/>
  <c r="K27" i="3"/>
  <c r="J27" i="3"/>
  <c r="I27" i="3"/>
  <c r="D27" i="3"/>
  <c r="C27" i="3"/>
  <c r="BW27" i="3" s="1"/>
  <c r="BV26" i="3"/>
  <c r="BR26" i="3"/>
  <c r="BS26" i="3" s="1"/>
  <c r="BQ26" i="3"/>
  <c r="BL26" i="3"/>
  <c r="BK26" i="3"/>
  <c r="BM26" i="3" s="1"/>
  <c r="BJ26" i="3"/>
  <c r="BG26" i="3"/>
  <c r="BA26" i="3"/>
  <c r="AZ26" i="3"/>
  <c r="AY26" i="3"/>
  <c r="AX26" i="3"/>
  <c r="AT26" i="3"/>
  <c r="AS26" i="3"/>
  <c r="AU26" i="3" s="1"/>
  <c r="AO26" i="3"/>
  <c r="AN26" i="3"/>
  <c r="AM26" i="3"/>
  <c r="AL26" i="3"/>
  <c r="AH26" i="3"/>
  <c r="AI26" i="3" s="1"/>
  <c r="AG26" i="3"/>
  <c r="AB26" i="3"/>
  <c r="AA26" i="3"/>
  <c r="AC26" i="3" s="1"/>
  <c r="Z26" i="3"/>
  <c r="V26" i="3"/>
  <c r="W26" i="3" s="1"/>
  <c r="U26" i="3"/>
  <c r="Q26" i="3"/>
  <c r="P26" i="3"/>
  <c r="O26" i="3"/>
  <c r="N26" i="3"/>
  <c r="J26" i="3"/>
  <c r="I26" i="3"/>
  <c r="K26" i="3" s="1"/>
  <c r="E26" i="3"/>
  <c r="D26" i="3"/>
  <c r="C26" i="3"/>
  <c r="BX25" i="3"/>
  <c r="BR25" i="3"/>
  <c r="BQ25" i="3"/>
  <c r="BS25" i="3" s="1"/>
  <c r="BP25" i="3"/>
  <c r="BL25" i="3"/>
  <c r="BM25" i="3" s="1"/>
  <c r="BK25" i="3"/>
  <c r="BG25" i="3"/>
  <c r="AZ25" i="3"/>
  <c r="AY25" i="3"/>
  <c r="BA25" i="3" s="1"/>
  <c r="AU25" i="3"/>
  <c r="AT25" i="3"/>
  <c r="AS25" i="3"/>
  <c r="AR25" i="3"/>
  <c r="AN25" i="3"/>
  <c r="AO25" i="3" s="1"/>
  <c r="AM25" i="3"/>
  <c r="AH25" i="3"/>
  <c r="AG25" i="3"/>
  <c r="AI25" i="3" s="1"/>
  <c r="AF25" i="3"/>
  <c r="AB25" i="3"/>
  <c r="AC25" i="3" s="1"/>
  <c r="AA25" i="3"/>
  <c r="W25" i="3"/>
  <c r="V25" i="3"/>
  <c r="U25" i="3"/>
  <c r="T25" i="3"/>
  <c r="P25" i="3"/>
  <c r="O25" i="3"/>
  <c r="Q25" i="3" s="1"/>
  <c r="K25" i="3"/>
  <c r="J25" i="3"/>
  <c r="I25" i="3"/>
  <c r="H25" i="3"/>
  <c r="D25" i="3"/>
  <c r="E25" i="3" s="1"/>
  <c r="C25" i="3"/>
  <c r="BR24" i="3"/>
  <c r="BS24" i="3" s="1"/>
  <c r="BQ24" i="3"/>
  <c r="BM24" i="3"/>
  <c r="BL24" i="3"/>
  <c r="BK24" i="3"/>
  <c r="BG24" i="3"/>
  <c r="BA24" i="3"/>
  <c r="AZ24" i="3"/>
  <c r="AY24" i="3"/>
  <c r="AX24" i="3"/>
  <c r="AT24" i="3"/>
  <c r="AU24" i="3" s="1"/>
  <c r="AS24" i="3"/>
  <c r="AN24" i="3"/>
  <c r="AM24" i="3"/>
  <c r="AH24" i="3"/>
  <c r="AI24" i="3" s="1"/>
  <c r="AG24" i="3"/>
  <c r="AC24" i="3"/>
  <c r="AB24" i="3"/>
  <c r="AA24" i="3"/>
  <c r="V24" i="3"/>
  <c r="U24" i="3"/>
  <c r="W24" i="3" s="1"/>
  <c r="Q24" i="3"/>
  <c r="P24" i="3"/>
  <c r="O24" i="3"/>
  <c r="J24" i="3"/>
  <c r="K24" i="3" s="1"/>
  <c r="I24" i="3"/>
  <c r="CA24" i="3"/>
  <c r="D24" i="3"/>
  <c r="C24" i="3"/>
  <c r="E24" i="3" s="1"/>
  <c r="BS23" i="3"/>
  <c r="BR23" i="3"/>
  <c r="BQ23" i="3"/>
  <c r="BP23" i="3"/>
  <c r="BL23" i="3"/>
  <c r="BK23" i="3"/>
  <c r="BM23" i="3" s="1"/>
  <c r="BG23" i="3"/>
  <c r="BD23" i="3"/>
  <c r="AZ23" i="3"/>
  <c r="BA23" i="3" s="1"/>
  <c r="AY23" i="3"/>
  <c r="AT23" i="3"/>
  <c r="AS23" i="3"/>
  <c r="AU23" i="3" s="1"/>
  <c r="AR23" i="3"/>
  <c r="AN23" i="3"/>
  <c r="AO23" i="3" s="1"/>
  <c r="AM23" i="3"/>
  <c r="AI23" i="3"/>
  <c r="AH23" i="3"/>
  <c r="AG23" i="3"/>
  <c r="AF23" i="3"/>
  <c r="AB23" i="3"/>
  <c r="AA23" i="3"/>
  <c r="AC23" i="3" s="1"/>
  <c r="W23" i="3"/>
  <c r="V23" i="3"/>
  <c r="U23" i="3"/>
  <c r="T23" i="3"/>
  <c r="P23" i="3"/>
  <c r="Q23" i="3" s="1"/>
  <c r="O23" i="3"/>
  <c r="J23" i="3"/>
  <c r="I23" i="3"/>
  <c r="K23" i="3" s="1"/>
  <c r="H23" i="3"/>
  <c r="D23" i="3"/>
  <c r="E23" i="3" s="1"/>
  <c r="C23" i="3"/>
  <c r="BV22" i="3"/>
  <c r="BR22" i="3"/>
  <c r="BQ22" i="3"/>
  <c r="BS22" i="3" s="1"/>
  <c r="BM22" i="3"/>
  <c r="BL22" i="3"/>
  <c r="BK22" i="3"/>
  <c r="BJ22" i="3"/>
  <c r="BG22" i="3"/>
  <c r="AZ22" i="3"/>
  <c r="AY22" i="3"/>
  <c r="BA22" i="3" s="1"/>
  <c r="AX22" i="3"/>
  <c r="AT22" i="3"/>
  <c r="AU22" i="3" s="1"/>
  <c r="AS22" i="3"/>
  <c r="AO22" i="3"/>
  <c r="AN22" i="3"/>
  <c r="AM22" i="3"/>
  <c r="AH22" i="3"/>
  <c r="AG22" i="3"/>
  <c r="AI22" i="3" s="1"/>
  <c r="AC22" i="3"/>
  <c r="AB22" i="3"/>
  <c r="AA22" i="3"/>
  <c r="Z22" i="3"/>
  <c r="V22" i="3"/>
  <c r="W22" i="3" s="1"/>
  <c r="U22" i="3"/>
  <c r="P22" i="3"/>
  <c r="O22" i="3"/>
  <c r="Q22" i="3" s="1"/>
  <c r="N22" i="3"/>
  <c r="J22" i="3"/>
  <c r="K22" i="3" s="1"/>
  <c r="I22" i="3"/>
  <c r="CA22" i="3"/>
  <c r="E22" i="3"/>
  <c r="D22" i="3"/>
  <c r="C22" i="3"/>
  <c r="BW22" i="3" s="1"/>
  <c r="BS21" i="3"/>
  <c r="BR21" i="3"/>
  <c r="BQ21" i="3"/>
  <c r="BL21" i="3"/>
  <c r="BM21" i="3" s="1"/>
  <c r="BK21" i="3"/>
  <c r="AZ21" i="3"/>
  <c r="BA21" i="3" s="1"/>
  <c r="AY21" i="3"/>
  <c r="AU21" i="3"/>
  <c r="AT21" i="3"/>
  <c r="AS21" i="3"/>
  <c r="AN21" i="3"/>
  <c r="AM21" i="3"/>
  <c r="AO21" i="3" s="1"/>
  <c r="AI21" i="3"/>
  <c r="AH21" i="3"/>
  <c r="AG21" i="3"/>
  <c r="AB21" i="3"/>
  <c r="AA21" i="3"/>
  <c r="V21" i="3"/>
  <c r="U21" i="3"/>
  <c r="W21" i="3" s="1"/>
  <c r="P21" i="3"/>
  <c r="Q21" i="3" s="1"/>
  <c r="O21" i="3"/>
  <c r="K21" i="3"/>
  <c r="J21" i="3"/>
  <c r="I21" i="3"/>
  <c r="D21" i="3"/>
  <c r="BX21" i="3" s="1"/>
  <c r="C21" i="3"/>
  <c r="BV20" i="3"/>
  <c r="BR20" i="3"/>
  <c r="BS20" i="3" s="1"/>
  <c r="BQ20" i="3"/>
  <c r="BL20" i="3"/>
  <c r="BK20" i="3"/>
  <c r="BJ20" i="3"/>
  <c r="BG20" i="3"/>
  <c r="BA20" i="3"/>
  <c r="AZ20" i="3"/>
  <c r="AY20" i="3"/>
  <c r="AT20" i="3"/>
  <c r="AS20" i="3"/>
  <c r="AU20" i="3" s="1"/>
  <c r="AO20" i="3"/>
  <c r="AN20" i="3"/>
  <c r="AM20" i="3"/>
  <c r="AL20" i="3"/>
  <c r="AH20" i="3"/>
  <c r="AI20" i="3" s="1"/>
  <c r="AG20" i="3"/>
  <c r="AB20" i="3"/>
  <c r="AA20" i="3"/>
  <c r="AC20" i="3" s="1"/>
  <c r="Z20" i="3"/>
  <c r="V20" i="3"/>
  <c r="W20" i="3" s="1"/>
  <c r="U20" i="3"/>
  <c r="Q20" i="3"/>
  <c r="P20" i="3"/>
  <c r="O20" i="3"/>
  <c r="N20" i="3"/>
  <c r="J20" i="3"/>
  <c r="J30" i="3" s="1"/>
  <c r="J72" i="3" s="1"/>
  <c r="I20" i="3"/>
  <c r="K20" i="3" s="1"/>
  <c r="CA20" i="3"/>
  <c r="E20" i="3"/>
  <c r="D20" i="3"/>
  <c r="BX20" i="3" s="1"/>
  <c r="BY20" i="3" s="1"/>
  <c r="C20" i="3"/>
  <c r="BW20" i="3" s="1"/>
  <c r="BX19" i="3"/>
  <c r="BR19" i="3"/>
  <c r="BQ19" i="3"/>
  <c r="BS19" i="3" s="1"/>
  <c r="BP19" i="3"/>
  <c r="BL19" i="3"/>
  <c r="BM19" i="3" s="1"/>
  <c r="BK19" i="3"/>
  <c r="BG19" i="3"/>
  <c r="BA19" i="3"/>
  <c r="AZ19" i="3"/>
  <c r="AY19" i="3"/>
  <c r="AX19" i="3"/>
  <c r="AU19" i="3"/>
  <c r="AT19" i="3"/>
  <c r="AS19" i="3"/>
  <c r="AR19" i="3"/>
  <c r="AO19" i="3"/>
  <c r="AN19" i="3"/>
  <c r="AM19" i="3"/>
  <c r="AL19" i="3"/>
  <c r="AI19" i="3"/>
  <c r="AH19" i="3"/>
  <c r="AG19" i="3"/>
  <c r="AF19" i="3"/>
  <c r="AC19" i="3"/>
  <c r="AB19" i="3"/>
  <c r="AA19" i="3"/>
  <c r="Z19" i="3"/>
  <c r="W19" i="3"/>
  <c r="V19" i="3"/>
  <c r="U19" i="3"/>
  <c r="T19" i="3"/>
  <c r="Q19" i="3"/>
  <c r="P19" i="3"/>
  <c r="O19" i="3"/>
  <c r="N19" i="3"/>
  <c r="K19" i="3"/>
  <c r="J19" i="3"/>
  <c r="I19" i="3"/>
  <c r="E19" i="3"/>
  <c r="D19" i="3"/>
  <c r="C19" i="3"/>
  <c r="BW19" i="3" s="1"/>
  <c r="BY19" i="3" s="1"/>
  <c r="BS18" i="3"/>
  <c r="BR18" i="3"/>
  <c r="BQ18" i="3"/>
  <c r="BM18" i="3"/>
  <c r="BL18" i="3"/>
  <c r="BK18" i="3"/>
  <c r="BJ18" i="3"/>
  <c r="BG18" i="3"/>
  <c r="BA18" i="3"/>
  <c r="AZ18" i="3"/>
  <c r="AY18" i="3"/>
  <c r="AU18" i="3"/>
  <c r="AT18" i="3"/>
  <c r="AS18" i="3"/>
  <c r="AO18" i="3"/>
  <c r="AN18" i="3"/>
  <c r="AM18" i="3"/>
  <c r="AI18" i="3"/>
  <c r="AH18" i="3"/>
  <c r="AG18" i="3"/>
  <c r="AF18" i="3"/>
  <c r="AC18" i="3"/>
  <c r="AB18" i="3"/>
  <c r="AA18" i="3"/>
  <c r="W18" i="3"/>
  <c r="V18" i="3"/>
  <c r="U18" i="3"/>
  <c r="T18" i="3"/>
  <c r="Q18" i="3"/>
  <c r="P18" i="3"/>
  <c r="O18" i="3"/>
  <c r="N18" i="3"/>
  <c r="K18" i="3"/>
  <c r="J18" i="3"/>
  <c r="I18" i="3"/>
  <c r="H18" i="3"/>
  <c r="E18" i="3"/>
  <c r="D18" i="3"/>
  <c r="BX18" i="3" s="1"/>
  <c r="C18" i="3"/>
  <c r="BW18" i="3" s="1"/>
  <c r="BV17" i="3"/>
  <c r="BS17" i="3"/>
  <c r="BR17" i="3"/>
  <c r="BQ17" i="3"/>
  <c r="BP17" i="3"/>
  <c r="BM17" i="3"/>
  <c r="BL17" i="3"/>
  <c r="BK17" i="3"/>
  <c r="BJ17" i="3"/>
  <c r="BG17" i="3"/>
  <c r="BD17" i="3"/>
  <c r="BA17" i="3"/>
  <c r="AZ17" i="3"/>
  <c r="AY17" i="3"/>
  <c r="AX17" i="3"/>
  <c r="AU17" i="3"/>
  <c r="AT17" i="3"/>
  <c r="AS17" i="3"/>
  <c r="AR17" i="3"/>
  <c r="AO17" i="3"/>
  <c r="AN17" i="3"/>
  <c r="AM17" i="3"/>
  <c r="AL17" i="3"/>
  <c r="AI17" i="3"/>
  <c r="AH17" i="3"/>
  <c r="AG17" i="3"/>
  <c r="AF17" i="3"/>
  <c r="AC17" i="3"/>
  <c r="AB17" i="3"/>
  <c r="AA17" i="3"/>
  <c r="Z17" i="3"/>
  <c r="W17" i="3"/>
  <c r="V17" i="3"/>
  <c r="U17" i="3"/>
  <c r="T17" i="3"/>
  <c r="Q17" i="3"/>
  <c r="P17" i="3"/>
  <c r="O17" i="3"/>
  <c r="N17" i="3"/>
  <c r="K17" i="3"/>
  <c r="J17" i="3"/>
  <c r="I17" i="3"/>
  <c r="H17" i="3"/>
  <c r="BZ17" i="3"/>
  <c r="E17" i="3"/>
  <c r="D17" i="3"/>
  <c r="BX17" i="3" s="1"/>
  <c r="C17" i="3"/>
  <c r="BW17" i="3" s="1"/>
  <c r="BV16" i="3"/>
  <c r="BS16" i="3"/>
  <c r="BR16" i="3"/>
  <c r="BQ16" i="3"/>
  <c r="BP16" i="3"/>
  <c r="BM16" i="3"/>
  <c r="BL16" i="3"/>
  <c r="BK16" i="3"/>
  <c r="BJ16" i="3"/>
  <c r="BG16" i="3"/>
  <c r="BA16" i="3"/>
  <c r="AZ16" i="3"/>
  <c r="AY16" i="3"/>
  <c r="AX16" i="3"/>
  <c r="AU16" i="3"/>
  <c r="AT16" i="3"/>
  <c r="AS16" i="3"/>
  <c r="AR16" i="3"/>
  <c r="AO16" i="3"/>
  <c r="AN16" i="3"/>
  <c r="AM16" i="3"/>
  <c r="AL16" i="3"/>
  <c r="AI16" i="3"/>
  <c r="AH16" i="3"/>
  <c r="AG16" i="3"/>
  <c r="AF16" i="3"/>
  <c r="AC16" i="3"/>
  <c r="AB16" i="3"/>
  <c r="AA16" i="3"/>
  <c r="Z16" i="3"/>
  <c r="W16" i="3"/>
  <c r="V16" i="3"/>
  <c r="U16" i="3"/>
  <c r="T16" i="3"/>
  <c r="Q16" i="3"/>
  <c r="P16" i="3"/>
  <c r="O16" i="3"/>
  <c r="N16" i="3"/>
  <c r="K16" i="3"/>
  <c r="J16" i="3"/>
  <c r="I16" i="3"/>
  <c r="H16" i="3"/>
  <c r="E16" i="3"/>
  <c r="D16" i="3"/>
  <c r="BX16" i="3" s="1"/>
  <c r="C16" i="3"/>
  <c r="BW16" i="3" s="1"/>
  <c r="BV15" i="3"/>
  <c r="BS15" i="3"/>
  <c r="BR15" i="3"/>
  <c r="BQ15" i="3"/>
  <c r="BP15" i="3"/>
  <c r="BM15" i="3"/>
  <c r="BL15" i="3"/>
  <c r="BK15" i="3"/>
  <c r="BG15" i="3"/>
  <c r="BA15" i="3"/>
  <c r="AZ15" i="3"/>
  <c r="AY15" i="3"/>
  <c r="AX15" i="3"/>
  <c r="AU15" i="3"/>
  <c r="AT15" i="3"/>
  <c r="AS15" i="3"/>
  <c r="AO15" i="3"/>
  <c r="AN15" i="3"/>
  <c r="AM15" i="3"/>
  <c r="AI15" i="3"/>
  <c r="AH15" i="3"/>
  <c r="AG15" i="3"/>
  <c r="AC15" i="3"/>
  <c r="AB15" i="3"/>
  <c r="AA15" i="3"/>
  <c r="W15" i="3"/>
  <c r="V15" i="3"/>
  <c r="U15" i="3"/>
  <c r="Q15" i="3"/>
  <c r="P15" i="3"/>
  <c r="O15" i="3"/>
  <c r="K15" i="3"/>
  <c r="J15" i="3"/>
  <c r="I15" i="3"/>
  <c r="H15" i="3"/>
  <c r="E15" i="3"/>
  <c r="D15" i="3"/>
  <c r="BX15" i="3" s="1"/>
  <c r="C15" i="3"/>
  <c r="BW15" i="3" s="1"/>
  <c r="BV14" i="3"/>
  <c r="BS14" i="3"/>
  <c r="BR14" i="3"/>
  <c r="BQ14" i="3"/>
  <c r="BP14" i="3"/>
  <c r="BM14" i="3"/>
  <c r="BL14" i="3"/>
  <c r="BK14" i="3"/>
  <c r="BJ14" i="3"/>
  <c r="BG14" i="3"/>
  <c r="BD14" i="3"/>
  <c r="BA14" i="3"/>
  <c r="AZ14" i="3"/>
  <c r="AY14" i="3"/>
  <c r="AX14" i="3"/>
  <c r="AU14" i="3"/>
  <c r="AT14" i="3"/>
  <c r="AS14" i="3"/>
  <c r="AR14" i="3"/>
  <c r="AO14" i="3"/>
  <c r="AN14" i="3"/>
  <c r="AM14" i="3"/>
  <c r="AL14" i="3"/>
  <c r="AI14" i="3"/>
  <c r="AH14" i="3"/>
  <c r="AG14" i="3"/>
  <c r="AF14" i="3"/>
  <c r="AC14" i="3"/>
  <c r="AB14" i="3"/>
  <c r="AA14" i="3"/>
  <c r="Z14" i="3"/>
  <c r="W14" i="3"/>
  <c r="V14" i="3"/>
  <c r="U14" i="3"/>
  <c r="T14" i="3"/>
  <c r="Q14" i="3"/>
  <c r="P14" i="3"/>
  <c r="O14" i="3"/>
  <c r="N14" i="3"/>
  <c r="K14" i="3"/>
  <c r="J14" i="3"/>
  <c r="I14" i="3"/>
  <c r="H14" i="3"/>
  <c r="BZ14" i="3"/>
  <c r="E14" i="3"/>
  <c r="D14" i="3"/>
  <c r="BX14" i="3" s="1"/>
  <c r="C14" i="3"/>
  <c r="BW14" i="3" s="1"/>
  <c r="BY14" i="3" s="1"/>
  <c r="BV13" i="3"/>
  <c r="BS13" i="3"/>
  <c r="BR13" i="3"/>
  <c r="BQ13" i="3"/>
  <c r="BP13" i="3"/>
  <c r="BM13" i="3"/>
  <c r="BL13" i="3"/>
  <c r="BK13" i="3"/>
  <c r="BJ13" i="3"/>
  <c r="BG13" i="3"/>
  <c r="BA13" i="3"/>
  <c r="AZ13" i="3"/>
  <c r="AY13" i="3"/>
  <c r="AX13" i="3"/>
  <c r="AU13" i="3"/>
  <c r="AT13" i="3"/>
  <c r="AS13" i="3"/>
  <c r="AR13" i="3"/>
  <c r="AO13" i="3"/>
  <c r="AN13" i="3"/>
  <c r="AM13" i="3"/>
  <c r="AL13" i="3"/>
  <c r="AI13" i="3"/>
  <c r="AH13" i="3"/>
  <c r="AG13" i="3"/>
  <c r="AF13" i="3"/>
  <c r="AC13" i="3"/>
  <c r="AB13" i="3"/>
  <c r="AA13" i="3"/>
  <c r="Z13" i="3"/>
  <c r="W13" i="3"/>
  <c r="V13" i="3"/>
  <c r="U13" i="3"/>
  <c r="T13" i="3"/>
  <c r="Q13" i="3"/>
  <c r="P13" i="3"/>
  <c r="O13" i="3"/>
  <c r="N13" i="3"/>
  <c r="K13" i="3"/>
  <c r="J13" i="3"/>
  <c r="I13" i="3"/>
  <c r="H13" i="3"/>
  <c r="E13" i="3"/>
  <c r="D13" i="3"/>
  <c r="BX13" i="3" s="1"/>
  <c r="C13" i="3"/>
  <c r="BW13" i="3" s="1"/>
  <c r="BS12" i="3"/>
  <c r="BR12" i="3"/>
  <c r="BR30" i="3" s="1"/>
  <c r="BQ12" i="3"/>
  <c r="BM12" i="3"/>
  <c r="BL12" i="3"/>
  <c r="BL30" i="3" s="1"/>
  <c r="BK12" i="3"/>
  <c r="BG12" i="3"/>
  <c r="BA12" i="3"/>
  <c r="AZ12" i="3"/>
  <c r="AY12" i="3"/>
  <c r="AY30" i="3" s="1"/>
  <c r="AU12" i="3"/>
  <c r="AT12" i="3"/>
  <c r="AT30" i="3" s="1"/>
  <c r="AT72" i="3" s="1"/>
  <c r="AS12" i="3"/>
  <c r="AO12" i="3"/>
  <c r="AN12" i="3"/>
  <c r="AM12" i="3"/>
  <c r="AI12" i="3"/>
  <c r="AH12" i="3"/>
  <c r="AG12" i="3"/>
  <c r="AC12" i="3"/>
  <c r="AB12" i="3"/>
  <c r="AA12" i="3"/>
  <c r="AA30" i="3" s="1"/>
  <c r="W12" i="3"/>
  <c r="V12" i="3"/>
  <c r="U12" i="3"/>
  <c r="U30" i="3" s="1"/>
  <c r="U72" i="3" s="1"/>
  <c r="Q12" i="3"/>
  <c r="Q30" i="3" s="1"/>
  <c r="P12" i="3"/>
  <c r="P30" i="3" s="1"/>
  <c r="P72" i="3" s="1"/>
  <c r="O12" i="3"/>
  <c r="O30" i="3" s="1"/>
  <c r="N12" i="3"/>
  <c r="K12" i="3"/>
  <c r="J12" i="3"/>
  <c r="I12" i="3"/>
  <c r="G30" i="3"/>
  <c r="E12" i="3"/>
  <c r="D12" i="3"/>
  <c r="C12" i="3"/>
  <c r="BW12" i="3" s="1"/>
  <c r="BY8" i="3"/>
  <c r="BS8" i="3"/>
  <c r="BM8" i="3"/>
  <c r="BG8" i="3"/>
  <c r="BA8" i="3"/>
  <c r="AU8" i="3"/>
  <c r="AO8" i="3"/>
  <c r="AI8" i="3"/>
  <c r="AC8" i="3"/>
  <c r="W8" i="3"/>
  <c r="Q8" i="3"/>
  <c r="K8" i="3"/>
  <c r="E8" i="3"/>
  <c r="AV32" i="2"/>
  <c r="AX32" i="2" s="1"/>
  <c r="AV69" i="2"/>
  <c r="AV16" i="2"/>
  <c r="AP48" i="2"/>
  <c r="AR48" i="2"/>
  <c r="AJ48" i="2"/>
  <c r="X48" i="2"/>
  <c r="Z48" i="2"/>
  <c r="AW58" i="2"/>
  <c r="AV58" i="2"/>
  <c r="AW38" i="2"/>
  <c r="AV38" i="2"/>
  <c r="AW30" i="2"/>
  <c r="AV30" i="2"/>
  <c r="AX30" i="2" s="1"/>
  <c r="AQ58" i="2"/>
  <c r="AR58" i="2" s="1"/>
  <c r="AP58" i="2"/>
  <c r="AQ38" i="2"/>
  <c r="AQ70" i="2" s="1"/>
  <c r="AP38" i="2"/>
  <c r="AQ30" i="2"/>
  <c r="AP30" i="2"/>
  <c r="AR30" i="2" s="1"/>
  <c r="AK58" i="2"/>
  <c r="AJ58" i="2"/>
  <c r="AK38" i="2"/>
  <c r="AJ38" i="2"/>
  <c r="AK30" i="2"/>
  <c r="AJ30" i="2"/>
  <c r="AE58" i="2"/>
  <c r="AD58" i="2"/>
  <c r="AE38" i="2"/>
  <c r="AD38" i="2"/>
  <c r="AE30" i="2"/>
  <c r="AD30" i="2"/>
  <c r="Y58" i="2"/>
  <c r="X58" i="2"/>
  <c r="Y38" i="2"/>
  <c r="X38" i="2"/>
  <c r="Y30" i="2"/>
  <c r="X30" i="2"/>
  <c r="Z30" i="2" s="1"/>
  <c r="S58" i="2"/>
  <c r="R58" i="2"/>
  <c r="S38" i="2"/>
  <c r="S70" i="2" s="1"/>
  <c r="R38" i="2"/>
  <c r="S30" i="2"/>
  <c r="R30" i="2"/>
  <c r="M58" i="2"/>
  <c r="L58" i="2"/>
  <c r="M38" i="2"/>
  <c r="L38" i="2"/>
  <c r="M30" i="2"/>
  <c r="L30" i="2"/>
  <c r="N30" i="2" s="1"/>
  <c r="K70" i="2"/>
  <c r="J70" i="2"/>
  <c r="I70" i="2"/>
  <c r="CA69" i="2"/>
  <c r="BZ69" i="2"/>
  <c r="BX69" i="2"/>
  <c r="BV69" i="2"/>
  <c r="BS69" i="2"/>
  <c r="BP69" i="2"/>
  <c r="BM69" i="2"/>
  <c r="BJ69" i="2"/>
  <c r="BG69" i="2"/>
  <c r="BD69" i="2"/>
  <c r="BA69" i="2"/>
  <c r="AX69" i="2"/>
  <c r="AU69" i="2"/>
  <c r="AS69" i="2"/>
  <c r="AR69" i="2"/>
  <c r="AO69" i="2"/>
  <c r="AL69" i="2"/>
  <c r="AI69" i="2"/>
  <c r="AF69" i="2"/>
  <c r="AC69" i="2"/>
  <c r="Z69" i="2"/>
  <c r="W69" i="2"/>
  <c r="U69" i="2"/>
  <c r="BW69" i="2" s="1"/>
  <c r="BY69" i="2" s="1"/>
  <c r="T69" i="2"/>
  <c r="Q69" i="2"/>
  <c r="K69" i="2"/>
  <c r="H69" i="2"/>
  <c r="E69" i="2"/>
  <c r="CA68" i="2"/>
  <c r="BZ68" i="2"/>
  <c r="BX68" i="2"/>
  <c r="BW68" i="2"/>
  <c r="BY68" i="2" s="1"/>
  <c r="BV68" i="2"/>
  <c r="BS68" i="2"/>
  <c r="BP68" i="2"/>
  <c r="BM68" i="2"/>
  <c r="BJ68" i="2"/>
  <c r="BG68" i="2"/>
  <c r="BD68" i="2"/>
  <c r="BA68" i="2"/>
  <c r="AX68" i="2"/>
  <c r="AU68" i="2"/>
  <c r="AR68" i="2"/>
  <c r="AO68" i="2"/>
  <c r="AL68" i="2"/>
  <c r="AI68" i="2"/>
  <c r="AF68" i="2"/>
  <c r="AC68" i="2"/>
  <c r="Z68" i="2"/>
  <c r="W68" i="2"/>
  <c r="T68" i="2"/>
  <c r="Q68" i="2"/>
  <c r="N68" i="2"/>
  <c r="K68" i="2"/>
  <c r="H68" i="2"/>
  <c r="E68" i="2"/>
  <c r="CA67" i="2"/>
  <c r="BZ67" i="2"/>
  <c r="BX67" i="2"/>
  <c r="BW67" i="2"/>
  <c r="BY67" i="2" s="1"/>
  <c r="BV67" i="2"/>
  <c r="BS67" i="2"/>
  <c r="BP67" i="2"/>
  <c r="BM67" i="2"/>
  <c r="BJ67" i="2"/>
  <c r="BG67" i="2"/>
  <c r="BD67" i="2"/>
  <c r="BA67" i="2"/>
  <c r="AX67" i="2"/>
  <c r="AU67" i="2"/>
  <c r="AR67" i="2"/>
  <c r="AO67" i="2"/>
  <c r="AL67" i="2"/>
  <c r="AI67" i="2"/>
  <c r="AF67" i="2"/>
  <c r="AC67" i="2"/>
  <c r="Z67" i="2"/>
  <c r="W67" i="2"/>
  <c r="T67" i="2"/>
  <c r="Q67" i="2"/>
  <c r="N67" i="2"/>
  <c r="K67" i="2"/>
  <c r="H67" i="2"/>
  <c r="E67" i="2"/>
  <c r="CA66" i="2"/>
  <c r="BZ66" i="2"/>
  <c r="BX66" i="2"/>
  <c r="BW66" i="2"/>
  <c r="BY66" i="2" s="1"/>
  <c r="BV66" i="2"/>
  <c r="BS66" i="2"/>
  <c r="BP66" i="2"/>
  <c r="BM66" i="2"/>
  <c r="BJ66" i="2"/>
  <c r="BG66" i="2"/>
  <c r="BD66" i="2"/>
  <c r="BA66" i="2"/>
  <c r="AX66" i="2"/>
  <c r="AU66" i="2"/>
  <c r="AR66" i="2"/>
  <c r="AO66" i="2"/>
  <c r="AL66" i="2"/>
  <c r="AI66" i="2"/>
  <c r="AF66" i="2"/>
  <c r="AC66" i="2"/>
  <c r="Z66" i="2"/>
  <c r="W66" i="2"/>
  <c r="T66" i="2"/>
  <c r="Q66" i="2"/>
  <c r="N66" i="2"/>
  <c r="K66" i="2"/>
  <c r="H66" i="2"/>
  <c r="E66" i="2"/>
  <c r="CA65" i="2"/>
  <c r="BZ65" i="2"/>
  <c r="BX65" i="2"/>
  <c r="BW65" i="2"/>
  <c r="BY65" i="2" s="1"/>
  <c r="BV65" i="2"/>
  <c r="BS65" i="2"/>
  <c r="BP65" i="2"/>
  <c r="BM65" i="2"/>
  <c r="BJ65" i="2"/>
  <c r="BG65" i="2"/>
  <c r="BD65" i="2"/>
  <c r="BA65" i="2"/>
  <c r="AX65" i="2"/>
  <c r="AU65" i="2"/>
  <c r="AR65" i="2"/>
  <c r="AO65" i="2"/>
  <c r="AL65" i="2"/>
  <c r="AI65" i="2"/>
  <c r="AF65" i="2"/>
  <c r="AC65" i="2"/>
  <c r="Z65" i="2"/>
  <c r="W65" i="2"/>
  <c r="T65" i="2"/>
  <c r="Q65" i="2"/>
  <c r="N65" i="2"/>
  <c r="K65" i="2"/>
  <c r="H65" i="2"/>
  <c r="E65" i="2"/>
  <c r="CA64" i="2"/>
  <c r="BZ64" i="2"/>
  <c r="BX64" i="2"/>
  <c r="BW64" i="2"/>
  <c r="BY64" i="2" s="1"/>
  <c r="BV64" i="2"/>
  <c r="BS64" i="2"/>
  <c r="BP64" i="2"/>
  <c r="BM64" i="2"/>
  <c r="BJ64" i="2"/>
  <c r="BG64" i="2"/>
  <c r="BD64" i="2"/>
  <c r="BA64" i="2"/>
  <c r="AX64" i="2"/>
  <c r="AU64" i="2"/>
  <c r="AR64" i="2"/>
  <c r="AO64" i="2"/>
  <c r="AL64" i="2"/>
  <c r="AI64" i="2"/>
  <c r="AF64" i="2"/>
  <c r="AC64" i="2"/>
  <c r="Z64" i="2"/>
  <c r="W64" i="2"/>
  <c r="T64" i="2"/>
  <c r="Q64" i="2"/>
  <c r="N64" i="2"/>
  <c r="K64" i="2"/>
  <c r="H64" i="2"/>
  <c r="E64" i="2"/>
  <c r="CA63" i="2"/>
  <c r="BZ63" i="2"/>
  <c r="BW63" i="2"/>
  <c r="BY63" i="2" s="1"/>
  <c r="BV63" i="2"/>
  <c r="BS63" i="2"/>
  <c r="BP63" i="2"/>
  <c r="BM63" i="2"/>
  <c r="BJ63" i="2"/>
  <c r="BG63" i="2"/>
  <c r="BD63" i="2"/>
  <c r="BA63" i="2"/>
  <c r="AX63" i="2"/>
  <c r="AT63" i="2"/>
  <c r="BX63" i="2" s="1"/>
  <c r="AR63" i="2"/>
  <c r="AO63" i="2"/>
  <c r="AL63" i="2"/>
  <c r="AI63" i="2"/>
  <c r="AF63" i="2"/>
  <c r="AC63" i="2"/>
  <c r="Z63" i="2"/>
  <c r="W63" i="2"/>
  <c r="T63" i="2"/>
  <c r="Q63" i="2"/>
  <c r="N63" i="2"/>
  <c r="K63" i="2"/>
  <c r="H63" i="2"/>
  <c r="E63" i="2"/>
  <c r="CA62" i="2"/>
  <c r="BZ62" i="2"/>
  <c r="BX62" i="2"/>
  <c r="BW62" i="2"/>
  <c r="BV62" i="2"/>
  <c r="BS62" i="2"/>
  <c r="BP62" i="2"/>
  <c r="BM62" i="2"/>
  <c r="BJ62" i="2"/>
  <c r="BG62" i="2"/>
  <c r="BD62" i="2"/>
  <c r="BA62" i="2"/>
  <c r="AX62" i="2"/>
  <c r="AU62" i="2"/>
  <c r="AR62" i="2"/>
  <c r="AO62" i="2"/>
  <c r="AL62" i="2"/>
  <c r="AI62" i="2"/>
  <c r="AF62" i="2"/>
  <c r="AC62" i="2"/>
  <c r="Z62" i="2"/>
  <c r="W62" i="2"/>
  <c r="T62" i="2"/>
  <c r="Q62" i="2"/>
  <c r="N62" i="2"/>
  <c r="K62" i="2"/>
  <c r="H62" i="2"/>
  <c r="E62" i="2"/>
  <c r="CA61" i="2"/>
  <c r="BZ61" i="2"/>
  <c r="BX61" i="2"/>
  <c r="BW61" i="2"/>
  <c r="BV61" i="2"/>
  <c r="BS61" i="2"/>
  <c r="BP61" i="2"/>
  <c r="BM61" i="2"/>
  <c r="BJ61" i="2"/>
  <c r="BG61" i="2"/>
  <c r="BD61" i="2"/>
  <c r="BA61" i="2"/>
  <c r="AX61" i="2"/>
  <c r="AU61" i="2"/>
  <c r="AR61" i="2"/>
  <c r="AO61" i="2"/>
  <c r="AL61" i="2"/>
  <c r="AI61" i="2"/>
  <c r="AF61" i="2"/>
  <c r="AC61" i="2"/>
  <c r="Z61" i="2"/>
  <c r="W61" i="2"/>
  <c r="T61" i="2"/>
  <c r="Q61" i="2"/>
  <c r="N61" i="2"/>
  <c r="K61" i="2"/>
  <c r="H61" i="2"/>
  <c r="E61" i="2"/>
  <c r="CA60" i="2"/>
  <c r="BZ60" i="2"/>
  <c r="BX60" i="2"/>
  <c r="BW60" i="2"/>
  <c r="BV60" i="2"/>
  <c r="BS60" i="2"/>
  <c r="BP60" i="2"/>
  <c r="BM60" i="2"/>
  <c r="BJ60" i="2"/>
  <c r="BG60" i="2"/>
  <c r="BD60" i="2"/>
  <c r="BA60" i="2"/>
  <c r="AX60" i="2"/>
  <c r="AU60" i="2"/>
  <c r="AR60" i="2"/>
  <c r="AO60" i="2"/>
  <c r="AL60" i="2"/>
  <c r="AI60" i="2"/>
  <c r="AF60" i="2"/>
  <c r="AC60" i="2"/>
  <c r="Z60" i="2"/>
  <c r="W60" i="2"/>
  <c r="T60" i="2"/>
  <c r="Q60" i="2"/>
  <c r="N60" i="2"/>
  <c r="K60" i="2"/>
  <c r="H60" i="2"/>
  <c r="E60" i="2"/>
  <c r="CA59" i="2"/>
  <c r="BZ59" i="2"/>
  <c r="BX59" i="2"/>
  <c r="BW59" i="2"/>
  <c r="BV59" i="2"/>
  <c r="BS59" i="2"/>
  <c r="BP59" i="2"/>
  <c r="BM59" i="2"/>
  <c r="BJ59" i="2"/>
  <c r="BG59" i="2"/>
  <c r="BD59" i="2"/>
  <c r="BA59" i="2"/>
  <c r="AX59" i="2"/>
  <c r="AU59" i="2"/>
  <c r="AR59" i="2"/>
  <c r="AO59" i="2"/>
  <c r="AL59" i="2"/>
  <c r="AI59" i="2"/>
  <c r="AF59" i="2"/>
  <c r="AC59" i="2"/>
  <c r="Z59" i="2"/>
  <c r="W59" i="2"/>
  <c r="T59" i="2"/>
  <c r="Q59" i="2"/>
  <c r="N59" i="2"/>
  <c r="K59" i="2"/>
  <c r="H59" i="2"/>
  <c r="E59" i="2"/>
  <c r="BX58" i="2"/>
  <c r="BU58" i="2"/>
  <c r="BT58" i="2"/>
  <c r="BV58" i="2" s="1"/>
  <c r="BR58" i="2"/>
  <c r="BQ58" i="2"/>
  <c r="BS58" i="2" s="1"/>
  <c r="BO58" i="2"/>
  <c r="BN58" i="2"/>
  <c r="BP58" i="2" s="1"/>
  <c r="BL58" i="2"/>
  <c r="BK58" i="2"/>
  <c r="BI58" i="2"/>
  <c r="BH58" i="2"/>
  <c r="BJ58" i="2" s="1"/>
  <c r="BF58" i="2"/>
  <c r="BE58" i="2"/>
  <c r="BG58" i="2" s="1"/>
  <c r="BC58" i="2"/>
  <c r="BB58" i="2"/>
  <c r="BD58" i="2" s="1"/>
  <c r="AZ58" i="2"/>
  <c r="AY58" i="2"/>
  <c r="BA58" i="2" s="1"/>
  <c r="AX58" i="2"/>
  <c r="AT58" i="2"/>
  <c r="AS58" i="2"/>
  <c r="AN58" i="2"/>
  <c r="AM58" i="2"/>
  <c r="AO58" i="2" s="1"/>
  <c r="AL58" i="2"/>
  <c r="AH58" i="2"/>
  <c r="AG58" i="2"/>
  <c r="AI58" i="2" s="1"/>
  <c r="AF58" i="2"/>
  <c r="AB58" i="2"/>
  <c r="AA58" i="2"/>
  <c r="Z58" i="2"/>
  <c r="V58" i="2"/>
  <c r="U58" i="2"/>
  <c r="W58" i="2" s="1"/>
  <c r="T58" i="2"/>
  <c r="P58" i="2"/>
  <c r="O58" i="2"/>
  <c r="Q58" i="2" s="1"/>
  <c r="N58" i="2"/>
  <c r="K58" i="2"/>
  <c r="H58" i="2"/>
  <c r="G58" i="2"/>
  <c r="F58" i="2"/>
  <c r="E58" i="2"/>
  <c r="D58" i="2"/>
  <c r="C58" i="2"/>
  <c r="CA57" i="2"/>
  <c r="BZ57" i="2"/>
  <c r="BW57" i="2"/>
  <c r="BV57" i="2"/>
  <c r="BS57" i="2"/>
  <c r="BP57" i="2"/>
  <c r="BM57" i="2"/>
  <c r="BJ57" i="2"/>
  <c r="BG57" i="2"/>
  <c r="BD57" i="2"/>
  <c r="BA57" i="2"/>
  <c r="AX57" i="2"/>
  <c r="AU57" i="2"/>
  <c r="AR57" i="2"/>
  <c r="AO57" i="2"/>
  <c r="AN57" i="2"/>
  <c r="AL57" i="2"/>
  <c r="AI57" i="2"/>
  <c r="AH57" i="2"/>
  <c r="AF57" i="2"/>
  <c r="AC57" i="2"/>
  <c r="Z57" i="2"/>
  <c r="W57" i="2"/>
  <c r="V57" i="2"/>
  <c r="BX57" i="2" s="1"/>
  <c r="BY57" i="2" s="1"/>
  <c r="T57" i="2"/>
  <c r="Q57" i="2"/>
  <c r="N57" i="2"/>
  <c r="K57" i="2"/>
  <c r="H57" i="2"/>
  <c r="E57" i="2"/>
  <c r="CA56" i="2"/>
  <c r="BZ56" i="2"/>
  <c r="BX56" i="2"/>
  <c r="BW56" i="2"/>
  <c r="BY56" i="2" s="1"/>
  <c r="BV56" i="2"/>
  <c r="BS56" i="2"/>
  <c r="BP56" i="2"/>
  <c r="BM56" i="2"/>
  <c r="BJ56" i="2"/>
  <c r="BG56" i="2"/>
  <c r="BD56" i="2"/>
  <c r="BA56" i="2"/>
  <c r="AX56" i="2"/>
  <c r="AU56" i="2"/>
  <c r="AR56" i="2"/>
  <c r="AO56" i="2"/>
  <c r="AL56" i="2"/>
  <c r="AI56" i="2"/>
  <c r="AF56" i="2"/>
  <c r="AC56" i="2"/>
  <c r="Z56" i="2"/>
  <c r="W56" i="2"/>
  <c r="T56" i="2"/>
  <c r="Q56" i="2"/>
  <c r="N56" i="2"/>
  <c r="K56" i="2"/>
  <c r="H56" i="2"/>
  <c r="E56" i="2"/>
  <c r="CA55" i="2"/>
  <c r="BZ55" i="2"/>
  <c r="BX55" i="2"/>
  <c r="BW55" i="2"/>
  <c r="BY55" i="2" s="1"/>
  <c r="BV55" i="2"/>
  <c r="BS55" i="2"/>
  <c r="BP55" i="2"/>
  <c r="BM55" i="2"/>
  <c r="BJ55" i="2"/>
  <c r="BG55" i="2"/>
  <c r="BD55" i="2"/>
  <c r="BA55" i="2"/>
  <c r="AX55" i="2"/>
  <c r="AU55" i="2"/>
  <c r="AR55" i="2"/>
  <c r="AO55" i="2"/>
  <c r="AL55" i="2"/>
  <c r="AI55" i="2"/>
  <c r="AF55" i="2"/>
  <c r="AC55" i="2"/>
  <c r="Z55" i="2"/>
  <c r="W55" i="2"/>
  <c r="T55" i="2"/>
  <c r="Q55" i="2"/>
  <c r="N55" i="2"/>
  <c r="K55" i="2"/>
  <c r="H55" i="2"/>
  <c r="E55" i="2"/>
  <c r="CA54" i="2"/>
  <c r="BZ54" i="2"/>
  <c r="BX54" i="2"/>
  <c r="BV54" i="2"/>
  <c r="BS54" i="2"/>
  <c r="BP54" i="2"/>
  <c r="BM54" i="2"/>
  <c r="BJ54" i="2"/>
  <c r="BG54" i="2"/>
  <c r="BD54" i="2"/>
  <c r="BA54" i="2"/>
  <c r="AX54" i="2"/>
  <c r="AS54" i="2"/>
  <c r="AU54" i="2" s="1"/>
  <c r="AR54" i="2"/>
  <c r="AO54" i="2"/>
  <c r="AL54" i="2"/>
  <c r="AI54" i="2"/>
  <c r="AF54" i="2"/>
  <c r="AC54" i="2"/>
  <c r="Z54" i="2"/>
  <c r="W54" i="2"/>
  <c r="T54" i="2"/>
  <c r="Q54" i="2"/>
  <c r="N54" i="2"/>
  <c r="K54" i="2"/>
  <c r="H54" i="2"/>
  <c r="E54" i="2"/>
  <c r="CA53" i="2"/>
  <c r="BZ53" i="2"/>
  <c r="BX53" i="2"/>
  <c r="BW53" i="2"/>
  <c r="BY53" i="2" s="1"/>
  <c r="BV53" i="2"/>
  <c r="BS53" i="2"/>
  <c r="BP53" i="2"/>
  <c r="BM53" i="2"/>
  <c r="BJ53" i="2"/>
  <c r="BG53" i="2"/>
  <c r="BD53" i="2"/>
  <c r="BA53" i="2"/>
  <c r="AX53" i="2"/>
  <c r="AU53" i="2"/>
  <c r="AR53" i="2"/>
  <c r="AO53" i="2"/>
  <c r="AL53" i="2"/>
  <c r="AI53" i="2"/>
  <c r="AF53" i="2"/>
  <c r="AC53" i="2"/>
  <c r="Z53" i="2"/>
  <c r="W53" i="2"/>
  <c r="T53" i="2"/>
  <c r="Q53" i="2"/>
  <c r="N53" i="2"/>
  <c r="K53" i="2"/>
  <c r="H53" i="2"/>
  <c r="E53" i="2"/>
  <c r="BZ52" i="2"/>
  <c r="BW52" i="2"/>
  <c r="BV52" i="2"/>
  <c r="BS52" i="2"/>
  <c r="BP52" i="2"/>
  <c r="BM52" i="2"/>
  <c r="BJ52" i="2"/>
  <c r="BG52" i="2"/>
  <c r="BD52" i="2"/>
  <c r="BA52" i="2"/>
  <c r="AX52" i="2"/>
  <c r="AU52" i="2"/>
  <c r="AR52" i="2"/>
  <c r="AN52" i="2"/>
  <c r="AO52" i="2" s="1"/>
  <c r="AL52" i="2"/>
  <c r="AH52" i="2"/>
  <c r="AI52" i="2" s="1"/>
  <c r="AF52" i="2"/>
  <c r="AC52" i="2"/>
  <c r="AB52" i="2"/>
  <c r="CA52" i="2"/>
  <c r="V52" i="2"/>
  <c r="BX52" i="2" s="1"/>
  <c r="T52" i="2"/>
  <c r="Q52" i="2"/>
  <c r="N52" i="2"/>
  <c r="K52" i="2"/>
  <c r="H52" i="2"/>
  <c r="E52" i="2"/>
  <c r="CA51" i="2"/>
  <c r="BZ51" i="2"/>
  <c r="BY51" i="2"/>
  <c r="BX51" i="2"/>
  <c r="BW51" i="2"/>
  <c r="BV51" i="2"/>
  <c r="BS51" i="2"/>
  <c r="BP51" i="2"/>
  <c r="BM51" i="2"/>
  <c r="BJ51" i="2"/>
  <c r="BG51" i="2"/>
  <c r="BD51" i="2"/>
  <c r="BA51" i="2"/>
  <c r="AX51" i="2"/>
  <c r="AU51" i="2"/>
  <c r="AR51" i="2"/>
  <c r="AO51" i="2"/>
  <c r="AL51" i="2"/>
  <c r="AI51" i="2"/>
  <c r="AF51" i="2"/>
  <c r="AC51" i="2"/>
  <c r="Z51" i="2"/>
  <c r="W51" i="2"/>
  <c r="T51" i="2"/>
  <c r="Q51" i="2"/>
  <c r="N51" i="2"/>
  <c r="K51" i="2"/>
  <c r="H51" i="2"/>
  <c r="E51" i="2"/>
  <c r="CA50" i="2"/>
  <c r="BZ50" i="2"/>
  <c r="BY50" i="2"/>
  <c r="BX50" i="2"/>
  <c r="BW50" i="2"/>
  <c r="BV50" i="2"/>
  <c r="BS50" i="2"/>
  <c r="BP50" i="2"/>
  <c r="BM50" i="2"/>
  <c r="BJ50" i="2"/>
  <c r="BG50" i="2"/>
  <c r="BD50" i="2"/>
  <c r="BA50" i="2"/>
  <c r="AX50" i="2"/>
  <c r="AU50" i="2"/>
  <c r="AR50" i="2"/>
  <c r="AO50" i="2"/>
  <c r="AL50" i="2"/>
  <c r="AI50" i="2"/>
  <c r="AF50" i="2"/>
  <c r="AC50" i="2"/>
  <c r="Z50" i="2"/>
  <c r="W50" i="2"/>
  <c r="T50" i="2"/>
  <c r="Q50" i="2"/>
  <c r="N50" i="2"/>
  <c r="K50" i="2"/>
  <c r="H50" i="2"/>
  <c r="E50" i="2"/>
  <c r="CA49" i="2"/>
  <c r="BZ49" i="2"/>
  <c r="BY49" i="2"/>
  <c r="BX49" i="2"/>
  <c r="BW49" i="2"/>
  <c r="BV49" i="2"/>
  <c r="BS49" i="2"/>
  <c r="BP49" i="2"/>
  <c r="BM49" i="2"/>
  <c r="BJ49" i="2"/>
  <c r="BG49" i="2"/>
  <c r="BD49" i="2"/>
  <c r="BA49" i="2"/>
  <c r="AX49" i="2"/>
  <c r="AU49" i="2"/>
  <c r="AR49" i="2"/>
  <c r="AO49" i="2"/>
  <c r="AL49" i="2"/>
  <c r="AI49" i="2"/>
  <c r="AF49" i="2"/>
  <c r="AC49" i="2"/>
  <c r="Z49" i="2"/>
  <c r="W49" i="2"/>
  <c r="T49" i="2"/>
  <c r="Q49" i="2"/>
  <c r="N49" i="2"/>
  <c r="K49" i="2"/>
  <c r="H49" i="2"/>
  <c r="E49" i="2"/>
  <c r="BV48" i="2"/>
  <c r="BS48" i="2"/>
  <c r="BP48" i="2"/>
  <c r="BM48" i="2"/>
  <c r="BJ48" i="2"/>
  <c r="BG48" i="2"/>
  <c r="BD48" i="2"/>
  <c r="BA48" i="2"/>
  <c r="AX48" i="2"/>
  <c r="AT48" i="2"/>
  <c r="AS48" i="2"/>
  <c r="AU48" i="2" s="1"/>
  <c r="AN48" i="2"/>
  <c r="AM48" i="2"/>
  <c r="AO48" i="2" s="1"/>
  <c r="AL48" i="2"/>
  <c r="AH48" i="2"/>
  <c r="AG48" i="2"/>
  <c r="AI48" i="2" s="1"/>
  <c r="AF48" i="2"/>
  <c r="AB48" i="2"/>
  <c r="AA48" i="2"/>
  <c r="AC48" i="2" s="1"/>
  <c r="V48" i="2"/>
  <c r="U48" i="2"/>
  <c r="W48" i="2" s="1"/>
  <c r="T48" i="2"/>
  <c r="P48" i="2"/>
  <c r="BX48" i="2" s="1"/>
  <c r="O48" i="2"/>
  <c r="BW48" i="2" s="1"/>
  <c r="BY48" i="2" s="1"/>
  <c r="CA48" i="2"/>
  <c r="BZ48" i="2"/>
  <c r="K48" i="2"/>
  <c r="H48" i="2"/>
  <c r="E48" i="2"/>
  <c r="CA47" i="2"/>
  <c r="BZ47" i="2"/>
  <c r="BX47" i="2"/>
  <c r="BW47" i="2"/>
  <c r="BV47" i="2"/>
  <c r="BS47" i="2"/>
  <c r="BP47" i="2"/>
  <c r="BM47" i="2"/>
  <c r="BJ47" i="2"/>
  <c r="BG47" i="2"/>
  <c r="BD47" i="2"/>
  <c r="BA47" i="2"/>
  <c r="AX47" i="2"/>
  <c r="AU47" i="2"/>
  <c r="AR47" i="2"/>
  <c r="AO47" i="2"/>
  <c r="AL47" i="2"/>
  <c r="AI47" i="2"/>
  <c r="AF47" i="2"/>
  <c r="AC47" i="2"/>
  <c r="Z47" i="2"/>
  <c r="W47" i="2"/>
  <c r="T47" i="2"/>
  <c r="Q47" i="2"/>
  <c r="N47" i="2"/>
  <c r="K47" i="2"/>
  <c r="H47" i="2"/>
  <c r="E47" i="2"/>
  <c r="BX46" i="2"/>
  <c r="BV46" i="2"/>
  <c r="BS46" i="2"/>
  <c r="BP46" i="2"/>
  <c r="BM46" i="2"/>
  <c r="BJ46" i="2"/>
  <c r="BG46" i="2"/>
  <c r="BD46" i="2"/>
  <c r="BA46" i="2"/>
  <c r="AX46" i="2"/>
  <c r="AU46" i="2"/>
  <c r="AT46" i="2"/>
  <c r="AS46" i="2"/>
  <c r="AR46" i="2"/>
  <c r="AO46" i="2"/>
  <c r="AN46" i="2"/>
  <c r="AL46" i="2"/>
  <c r="AH46" i="2"/>
  <c r="AI46" i="2" s="1"/>
  <c r="AF46" i="2"/>
  <c r="CA46" i="2"/>
  <c r="AB46" i="2"/>
  <c r="AC46" i="2" s="1"/>
  <c r="W46" i="2"/>
  <c r="V46" i="2"/>
  <c r="U46" i="2"/>
  <c r="BW46" i="2" s="1"/>
  <c r="T46" i="2"/>
  <c r="Q46" i="2"/>
  <c r="N46" i="2"/>
  <c r="K46" i="2"/>
  <c r="H46" i="2"/>
  <c r="E46" i="2"/>
  <c r="CA45" i="2"/>
  <c r="BZ45" i="2"/>
  <c r="BY45" i="2"/>
  <c r="BX45" i="2"/>
  <c r="BW45" i="2"/>
  <c r="BV45" i="2"/>
  <c r="BS45" i="2"/>
  <c r="BP45" i="2"/>
  <c r="BM45" i="2"/>
  <c r="BJ45" i="2"/>
  <c r="BG45" i="2"/>
  <c r="BD45" i="2"/>
  <c r="BA45" i="2"/>
  <c r="AX45" i="2"/>
  <c r="AU45" i="2"/>
  <c r="AR45" i="2"/>
  <c r="AO45" i="2"/>
  <c r="AL45" i="2"/>
  <c r="AI45" i="2"/>
  <c r="AF45" i="2"/>
  <c r="AC45" i="2"/>
  <c r="Z45" i="2"/>
  <c r="W45" i="2"/>
  <c r="T45" i="2"/>
  <c r="Q45" i="2"/>
  <c r="N45" i="2"/>
  <c r="K45" i="2"/>
  <c r="H45" i="2"/>
  <c r="E45" i="2"/>
  <c r="CA44" i="2"/>
  <c r="BZ44" i="2"/>
  <c r="BY44" i="2"/>
  <c r="BX44" i="2"/>
  <c r="BW44" i="2"/>
  <c r="BV44" i="2"/>
  <c r="BS44" i="2"/>
  <c r="BP44" i="2"/>
  <c r="BM44" i="2"/>
  <c r="BJ44" i="2"/>
  <c r="BG44" i="2"/>
  <c r="BD44" i="2"/>
  <c r="BA44" i="2"/>
  <c r="AX44" i="2"/>
  <c r="AU44" i="2"/>
  <c r="AR44" i="2"/>
  <c r="AO44" i="2"/>
  <c r="AL44" i="2"/>
  <c r="AI44" i="2"/>
  <c r="AF44" i="2"/>
  <c r="AC44" i="2"/>
  <c r="Z44" i="2"/>
  <c r="W44" i="2"/>
  <c r="T44" i="2"/>
  <c r="Q44" i="2"/>
  <c r="N44" i="2"/>
  <c r="K44" i="2"/>
  <c r="H44" i="2"/>
  <c r="E44" i="2"/>
  <c r="CA43" i="2"/>
  <c r="BZ43" i="2"/>
  <c r="BX43" i="2"/>
  <c r="BW43" i="2"/>
  <c r="BY43" i="2" s="1"/>
  <c r="BV43" i="2"/>
  <c r="BS43" i="2"/>
  <c r="BP43" i="2"/>
  <c r="BM43" i="2"/>
  <c r="BJ43" i="2"/>
  <c r="BG43" i="2"/>
  <c r="BD43" i="2"/>
  <c r="BA43" i="2"/>
  <c r="AX43" i="2"/>
  <c r="AU43" i="2"/>
  <c r="AR43" i="2"/>
  <c r="AO43" i="2"/>
  <c r="AL43" i="2"/>
  <c r="AI43" i="2"/>
  <c r="AF43" i="2"/>
  <c r="AC43" i="2"/>
  <c r="Z43" i="2"/>
  <c r="W43" i="2"/>
  <c r="T43" i="2"/>
  <c r="Q43" i="2"/>
  <c r="N43" i="2"/>
  <c r="K43" i="2"/>
  <c r="H43" i="2"/>
  <c r="E43" i="2"/>
  <c r="CA42" i="2"/>
  <c r="BZ42" i="2"/>
  <c r="BX42" i="2"/>
  <c r="BW42" i="2"/>
  <c r="BY42" i="2" s="1"/>
  <c r="BV42" i="2"/>
  <c r="BS42" i="2"/>
  <c r="BP42" i="2"/>
  <c r="BM42" i="2"/>
  <c r="BJ42" i="2"/>
  <c r="BG42" i="2"/>
  <c r="BD42" i="2"/>
  <c r="BA42" i="2"/>
  <c r="AX42" i="2"/>
  <c r="AU42" i="2"/>
  <c r="AR42" i="2"/>
  <c r="AO42" i="2"/>
  <c r="AL42" i="2"/>
  <c r="AI42" i="2"/>
  <c r="AF42" i="2"/>
  <c r="AC42" i="2"/>
  <c r="Z42" i="2"/>
  <c r="W42" i="2"/>
  <c r="T42" i="2"/>
  <c r="Q42" i="2"/>
  <c r="N42" i="2"/>
  <c r="K42" i="2"/>
  <c r="H42" i="2"/>
  <c r="E42" i="2"/>
  <c r="CA41" i="2"/>
  <c r="BZ41" i="2"/>
  <c r="BX41" i="2"/>
  <c r="BW41" i="2"/>
  <c r="BY41" i="2" s="1"/>
  <c r="BV41" i="2"/>
  <c r="BS41" i="2"/>
  <c r="BP41" i="2"/>
  <c r="BM41" i="2"/>
  <c r="BJ41" i="2"/>
  <c r="BG41" i="2"/>
  <c r="BD41" i="2"/>
  <c r="BA41" i="2"/>
  <c r="AX41" i="2"/>
  <c r="AU41" i="2"/>
  <c r="AR41" i="2"/>
  <c r="AO41" i="2"/>
  <c r="AL41" i="2"/>
  <c r="AI41" i="2"/>
  <c r="AF41" i="2"/>
  <c r="AC41" i="2"/>
  <c r="Z41" i="2"/>
  <c r="W41" i="2"/>
  <c r="T41" i="2"/>
  <c r="Q41" i="2"/>
  <c r="N41" i="2"/>
  <c r="K41" i="2"/>
  <c r="H41" i="2"/>
  <c r="E41" i="2"/>
  <c r="CA40" i="2"/>
  <c r="BZ40" i="2"/>
  <c r="BX40" i="2"/>
  <c r="BW40" i="2"/>
  <c r="BY40" i="2" s="1"/>
  <c r="BV40" i="2"/>
  <c r="BS40" i="2"/>
  <c r="BP40" i="2"/>
  <c r="BM40" i="2"/>
  <c r="BJ40" i="2"/>
  <c r="BG40" i="2"/>
  <c r="BD40" i="2"/>
  <c r="BA40" i="2"/>
  <c r="AX40" i="2"/>
  <c r="AU40" i="2"/>
  <c r="AR40" i="2"/>
  <c r="AO40" i="2"/>
  <c r="AL40" i="2"/>
  <c r="AI40" i="2"/>
  <c r="AF40" i="2"/>
  <c r="AC40" i="2"/>
  <c r="Z40" i="2"/>
  <c r="W40" i="2"/>
  <c r="T40" i="2"/>
  <c r="Q40" i="2"/>
  <c r="N40" i="2"/>
  <c r="K40" i="2"/>
  <c r="H40" i="2"/>
  <c r="E40" i="2"/>
  <c r="CA39" i="2"/>
  <c r="BZ39" i="2"/>
  <c r="BX39" i="2"/>
  <c r="BW39" i="2"/>
  <c r="BY39" i="2" s="1"/>
  <c r="BV39" i="2"/>
  <c r="BS39" i="2"/>
  <c r="BP39" i="2"/>
  <c r="BM39" i="2"/>
  <c r="BJ39" i="2"/>
  <c r="BG39" i="2"/>
  <c r="BD39" i="2"/>
  <c r="BA39" i="2"/>
  <c r="AX39" i="2"/>
  <c r="AU39" i="2"/>
  <c r="AR39" i="2"/>
  <c r="AO39" i="2"/>
  <c r="AL39" i="2"/>
  <c r="AI39" i="2"/>
  <c r="AF39" i="2"/>
  <c r="AC39" i="2"/>
  <c r="Z39" i="2"/>
  <c r="W39" i="2"/>
  <c r="T39" i="2"/>
  <c r="Q39" i="2"/>
  <c r="N39" i="2"/>
  <c r="K39" i="2"/>
  <c r="H39" i="2"/>
  <c r="E39" i="2"/>
  <c r="BU38" i="2"/>
  <c r="BU70" i="2" s="1"/>
  <c r="BT38" i="2"/>
  <c r="BR38" i="2"/>
  <c r="BR70" i="2" s="1"/>
  <c r="BQ38" i="2"/>
  <c r="BQ70" i="2" s="1"/>
  <c r="BO38" i="2"/>
  <c r="BO70" i="2" s="1"/>
  <c r="BN38" i="2"/>
  <c r="BL38" i="2"/>
  <c r="BL70" i="2" s="1"/>
  <c r="BK38" i="2"/>
  <c r="BK70" i="2" s="1"/>
  <c r="BI38" i="2"/>
  <c r="BI70" i="2" s="1"/>
  <c r="BH38" i="2"/>
  <c r="BF38" i="2"/>
  <c r="BF70" i="2" s="1"/>
  <c r="BE38" i="2"/>
  <c r="BE70" i="2" s="1"/>
  <c r="BC38" i="2"/>
  <c r="BC70" i="2" s="1"/>
  <c r="BB38" i="2"/>
  <c r="AZ38" i="2"/>
  <c r="AZ70" i="2" s="1"/>
  <c r="AY38" i="2"/>
  <c r="AY70" i="2" s="1"/>
  <c r="AT38" i="2"/>
  <c r="AT70" i="2" s="1"/>
  <c r="AS38" i="2"/>
  <c r="AS70" i="2" s="1"/>
  <c r="AN38" i="2"/>
  <c r="AN70" i="2" s="1"/>
  <c r="AM38" i="2"/>
  <c r="AM70" i="2" s="1"/>
  <c r="AH38" i="2"/>
  <c r="AG38" i="2"/>
  <c r="AG70" i="2" s="1"/>
  <c r="AB38" i="2"/>
  <c r="AA38" i="2"/>
  <c r="AC38" i="2" s="1"/>
  <c r="V38" i="2"/>
  <c r="U38" i="2"/>
  <c r="W38" i="2" s="1"/>
  <c r="T38" i="2"/>
  <c r="P38" i="2"/>
  <c r="O38" i="2"/>
  <c r="Q38" i="2" s="1"/>
  <c r="K38" i="2"/>
  <c r="G38" i="2"/>
  <c r="CA38" i="2" s="1"/>
  <c r="F38" i="2"/>
  <c r="F70" i="2" s="1"/>
  <c r="D38" i="2"/>
  <c r="C38" i="2"/>
  <c r="C70" i="2" s="1"/>
  <c r="CA37" i="2"/>
  <c r="BZ37" i="2"/>
  <c r="BX37" i="2"/>
  <c r="BW37" i="2"/>
  <c r="BY37" i="2" s="1"/>
  <c r="BV37" i="2"/>
  <c r="BS37" i="2"/>
  <c r="BP37" i="2"/>
  <c r="BM37" i="2"/>
  <c r="BJ37" i="2"/>
  <c r="BG37" i="2"/>
  <c r="BD37" i="2"/>
  <c r="BA37" i="2"/>
  <c r="AX37" i="2"/>
  <c r="AU37" i="2"/>
  <c r="AR37" i="2"/>
  <c r="AO37" i="2"/>
  <c r="AL37" i="2"/>
  <c r="AI37" i="2"/>
  <c r="AF37" i="2"/>
  <c r="AC37" i="2"/>
  <c r="Z37" i="2"/>
  <c r="W37" i="2"/>
  <c r="T37" i="2"/>
  <c r="Q37" i="2"/>
  <c r="N37" i="2"/>
  <c r="K37" i="2"/>
  <c r="H37" i="2"/>
  <c r="E37" i="2"/>
  <c r="CA36" i="2"/>
  <c r="BZ36" i="2"/>
  <c r="BX36" i="2"/>
  <c r="BW36" i="2"/>
  <c r="BY36" i="2" s="1"/>
  <c r="BV36" i="2"/>
  <c r="BS36" i="2"/>
  <c r="BP36" i="2"/>
  <c r="BM36" i="2"/>
  <c r="BJ36" i="2"/>
  <c r="BG36" i="2"/>
  <c r="BD36" i="2"/>
  <c r="BA36" i="2"/>
  <c r="AX36" i="2"/>
  <c r="AU36" i="2"/>
  <c r="AR36" i="2"/>
  <c r="AO36" i="2"/>
  <c r="AL36" i="2"/>
  <c r="AI36" i="2"/>
  <c r="AF36" i="2"/>
  <c r="AC36" i="2"/>
  <c r="Z36" i="2"/>
  <c r="W36" i="2"/>
  <c r="T36" i="2"/>
  <c r="Q36" i="2"/>
  <c r="N36" i="2"/>
  <c r="K36" i="2"/>
  <c r="H36" i="2"/>
  <c r="E36" i="2"/>
  <c r="CA35" i="2"/>
  <c r="BZ35" i="2"/>
  <c r="BX35" i="2"/>
  <c r="BW35" i="2"/>
  <c r="BY35" i="2" s="1"/>
  <c r="BV35" i="2"/>
  <c r="BS35" i="2"/>
  <c r="BP35" i="2"/>
  <c r="BM35" i="2"/>
  <c r="BJ35" i="2"/>
  <c r="BG35" i="2"/>
  <c r="BD35" i="2"/>
  <c r="BA35" i="2"/>
  <c r="AX35" i="2"/>
  <c r="AU35" i="2"/>
  <c r="AR35" i="2"/>
  <c r="AO35" i="2"/>
  <c r="AL35" i="2"/>
  <c r="AI35" i="2"/>
  <c r="AF35" i="2"/>
  <c r="AC35" i="2"/>
  <c r="Z35" i="2"/>
  <c r="W35" i="2"/>
  <c r="T35" i="2"/>
  <c r="Q35" i="2"/>
  <c r="K35" i="2"/>
  <c r="H35" i="2"/>
  <c r="E35" i="2"/>
  <c r="BZ34" i="2"/>
  <c r="BW34" i="2"/>
  <c r="BV34" i="2"/>
  <c r="BS34" i="2"/>
  <c r="BP34" i="2"/>
  <c r="BM34" i="2"/>
  <c r="BJ34" i="2"/>
  <c r="BG34" i="2"/>
  <c r="BD34" i="2"/>
  <c r="BA34" i="2"/>
  <c r="AX34" i="2"/>
  <c r="AW70" i="2"/>
  <c r="AU34" i="2"/>
  <c r="AR34" i="2"/>
  <c r="AO34" i="2"/>
  <c r="AH34" i="2"/>
  <c r="AH70" i="2" s="1"/>
  <c r="AF34" i="2"/>
  <c r="AE70" i="2"/>
  <c r="AB34" i="2"/>
  <c r="AA34" i="2"/>
  <c r="AA70" i="2" s="1"/>
  <c r="W34" i="2"/>
  <c r="V34" i="2"/>
  <c r="V70" i="2" s="1"/>
  <c r="T34" i="2"/>
  <c r="P34" i="2"/>
  <c r="N34" i="2"/>
  <c r="M70" i="2"/>
  <c r="K34" i="2"/>
  <c r="G70" i="2"/>
  <c r="E34" i="2"/>
  <c r="CA33" i="2"/>
  <c r="BZ33" i="2"/>
  <c r="BX33" i="2"/>
  <c r="BW33" i="2"/>
  <c r="BY33" i="2" s="1"/>
  <c r="BV33" i="2"/>
  <c r="BS33" i="2"/>
  <c r="BP33" i="2"/>
  <c r="BM33" i="2"/>
  <c r="BJ33" i="2"/>
  <c r="BG33" i="2"/>
  <c r="BD33" i="2"/>
  <c r="BA33" i="2"/>
  <c r="AX33" i="2"/>
  <c r="AU33" i="2"/>
  <c r="AR33" i="2"/>
  <c r="AO33" i="2"/>
  <c r="AL33" i="2"/>
  <c r="AI33" i="2"/>
  <c r="AF33" i="2"/>
  <c r="AC33" i="2"/>
  <c r="Z33" i="2"/>
  <c r="W33" i="2"/>
  <c r="T33" i="2"/>
  <c r="Q33" i="2"/>
  <c r="N33" i="2"/>
  <c r="K33" i="2"/>
  <c r="H33" i="2"/>
  <c r="E33" i="2"/>
  <c r="CA32" i="2"/>
  <c r="BX32" i="2"/>
  <c r="BV32" i="2"/>
  <c r="BS32" i="2"/>
  <c r="BP32" i="2"/>
  <c r="BM32" i="2"/>
  <c r="BJ32" i="2"/>
  <c r="BG32" i="2"/>
  <c r="BD32" i="2"/>
  <c r="BA32" i="2"/>
  <c r="AU32" i="2"/>
  <c r="AR32" i="2"/>
  <c r="AO32" i="2"/>
  <c r="AL32" i="2"/>
  <c r="AI32" i="2"/>
  <c r="AF32" i="2"/>
  <c r="AC32" i="2"/>
  <c r="Z32" i="2"/>
  <c r="U32" i="2"/>
  <c r="U70" i="2" s="1"/>
  <c r="W70" i="2" s="1"/>
  <c r="BZ32" i="2"/>
  <c r="O32" i="2"/>
  <c r="O70" i="2" s="1"/>
  <c r="K32" i="2"/>
  <c r="H32" i="2"/>
  <c r="E32" i="2"/>
  <c r="BV30" i="2"/>
  <c r="BU30" i="2"/>
  <c r="BT30" i="2"/>
  <c r="BS30" i="2"/>
  <c r="BR30" i="2"/>
  <c r="BR72" i="2" s="1"/>
  <c r="BQ30" i="2"/>
  <c r="BQ72" i="2" s="1"/>
  <c r="BS72" i="2" s="1"/>
  <c r="BP30" i="2"/>
  <c r="BO30" i="2"/>
  <c r="BN30" i="2"/>
  <c r="BM30" i="2"/>
  <c r="BL30" i="2"/>
  <c r="BK30" i="2"/>
  <c r="BK72" i="2" s="1"/>
  <c r="BJ30" i="2"/>
  <c r="BI30" i="2"/>
  <c r="BH30" i="2"/>
  <c r="BG30" i="2"/>
  <c r="BF30" i="2"/>
  <c r="BF72" i="2" s="1"/>
  <c r="BE30" i="2"/>
  <c r="BE72" i="2" s="1"/>
  <c r="BG72" i="2" s="1"/>
  <c r="BC30" i="2"/>
  <c r="BB30" i="2"/>
  <c r="BD30" i="2" s="1"/>
  <c r="AZ30" i="2"/>
  <c r="AZ72" i="2" s="1"/>
  <c r="AY30" i="2"/>
  <c r="AO30" i="2"/>
  <c r="AN30" i="2"/>
  <c r="AM30" i="2"/>
  <c r="AM72" i="2" s="1"/>
  <c r="AG30" i="2"/>
  <c r="V30" i="2"/>
  <c r="V72" i="2" s="1"/>
  <c r="K30" i="2"/>
  <c r="J30" i="2"/>
  <c r="J72" i="2" s="1"/>
  <c r="I30" i="2"/>
  <c r="I72" i="2" s="1"/>
  <c r="K72" i="2" s="1"/>
  <c r="F30" i="2"/>
  <c r="D30" i="2"/>
  <c r="C30" i="2"/>
  <c r="CA29" i="2"/>
  <c r="BX29" i="2"/>
  <c r="BV29" i="2"/>
  <c r="BS29" i="2"/>
  <c r="BP29" i="2"/>
  <c r="BM29" i="2"/>
  <c r="BJ29" i="2"/>
  <c r="BG29" i="2"/>
  <c r="BD29" i="2"/>
  <c r="BA29" i="2"/>
  <c r="AS29" i="2"/>
  <c r="AS30" i="2" s="1"/>
  <c r="AS72" i="2" s="1"/>
  <c r="AR29" i="2"/>
  <c r="AO29" i="2"/>
  <c r="AL29" i="2"/>
  <c r="AI29" i="2"/>
  <c r="AF29" i="2"/>
  <c r="AC29" i="2"/>
  <c r="Z29" i="2"/>
  <c r="W29" i="2"/>
  <c r="U29" i="2"/>
  <c r="T29" i="2"/>
  <c r="Q29" i="2"/>
  <c r="N29" i="2"/>
  <c r="K29" i="2"/>
  <c r="H29" i="2"/>
  <c r="E29" i="2"/>
  <c r="CA28" i="2"/>
  <c r="BZ28" i="2"/>
  <c r="BX28" i="2"/>
  <c r="BW28" i="2"/>
  <c r="BV28" i="2"/>
  <c r="BS28" i="2"/>
  <c r="BP28" i="2"/>
  <c r="BM28" i="2"/>
  <c r="BJ28" i="2"/>
  <c r="BG28" i="2"/>
  <c r="BD28" i="2"/>
  <c r="BA28" i="2"/>
  <c r="AX28" i="2"/>
  <c r="AU28" i="2"/>
  <c r="AR28" i="2"/>
  <c r="AO28" i="2"/>
  <c r="AL28" i="2"/>
  <c r="AI28" i="2"/>
  <c r="AF28" i="2"/>
  <c r="AC28" i="2"/>
  <c r="Z28" i="2"/>
  <c r="W28" i="2"/>
  <c r="T28" i="2"/>
  <c r="Q28" i="2"/>
  <c r="N28" i="2"/>
  <c r="K28" i="2"/>
  <c r="H28" i="2"/>
  <c r="E28" i="2"/>
  <c r="CA27" i="2"/>
  <c r="BZ27" i="2"/>
  <c r="BX27" i="2"/>
  <c r="BW27" i="2"/>
  <c r="BY27" i="2" s="1"/>
  <c r="BV27" i="2"/>
  <c r="BS27" i="2"/>
  <c r="BP27" i="2"/>
  <c r="BM27" i="2"/>
  <c r="BJ27" i="2"/>
  <c r="BG27" i="2"/>
  <c r="BD27" i="2"/>
  <c r="BA27" i="2"/>
  <c r="AX27" i="2"/>
  <c r="AU27" i="2"/>
  <c r="AR27" i="2"/>
  <c r="AO27" i="2"/>
  <c r="AL27" i="2"/>
  <c r="AI27" i="2"/>
  <c r="AF27" i="2"/>
  <c r="AC27" i="2"/>
  <c r="Z27" i="2"/>
  <c r="W27" i="2"/>
  <c r="T27" i="2"/>
  <c r="Q27" i="2"/>
  <c r="N27" i="2"/>
  <c r="K27" i="2"/>
  <c r="H27" i="2"/>
  <c r="E27" i="2"/>
  <c r="CA26" i="2"/>
  <c r="BZ26" i="2"/>
  <c r="BX26" i="2"/>
  <c r="BW26" i="2"/>
  <c r="BV26" i="2"/>
  <c r="BS26" i="2"/>
  <c r="BP26" i="2"/>
  <c r="BM26" i="2"/>
  <c r="BJ26" i="2"/>
  <c r="BG26" i="2"/>
  <c r="BD26" i="2"/>
  <c r="BA26" i="2"/>
  <c r="AX26" i="2"/>
  <c r="AU26" i="2"/>
  <c r="AR26" i="2"/>
  <c r="AO26" i="2"/>
  <c r="AL26" i="2"/>
  <c r="AI26" i="2"/>
  <c r="AF26" i="2"/>
  <c r="AC26" i="2"/>
  <c r="Z26" i="2"/>
  <c r="W26" i="2"/>
  <c r="T26" i="2"/>
  <c r="Q26" i="2"/>
  <c r="N26" i="2"/>
  <c r="K26" i="2"/>
  <c r="E26" i="2"/>
  <c r="CA25" i="2"/>
  <c r="BZ25" i="2"/>
  <c r="BY25" i="2"/>
  <c r="BX25" i="2"/>
  <c r="BW25" i="2"/>
  <c r="BV25" i="2"/>
  <c r="BS25" i="2"/>
  <c r="BP25" i="2"/>
  <c r="BM25" i="2"/>
  <c r="BJ25" i="2"/>
  <c r="BG25" i="2"/>
  <c r="BD25" i="2"/>
  <c r="BA25" i="2"/>
  <c r="AX25" i="2"/>
  <c r="AU25" i="2"/>
  <c r="AR25" i="2"/>
  <c r="AO25" i="2"/>
  <c r="AL25" i="2"/>
  <c r="AI25" i="2"/>
  <c r="AF25" i="2"/>
  <c r="AC25" i="2"/>
  <c r="Z25" i="2"/>
  <c r="W25" i="2"/>
  <c r="T25" i="2"/>
  <c r="Q25" i="2"/>
  <c r="N25" i="2"/>
  <c r="K25" i="2"/>
  <c r="H25" i="2"/>
  <c r="E25" i="2"/>
  <c r="CA24" i="2"/>
  <c r="BZ24" i="2"/>
  <c r="BY24" i="2"/>
  <c r="BX24" i="2"/>
  <c r="BW24" i="2"/>
  <c r="BV24" i="2"/>
  <c r="BS24" i="2"/>
  <c r="BP24" i="2"/>
  <c r="BM24" i="2"/>
  <c r="BJ24" i="2"/>
  <c r="BG24" i="2"/>
  <c r="BD24" i="2"/>
  <c r="BA24" i="2"/>
  <c r="AX24" i="2"/>
  <c r="AU24" i="2"/>
  <c r="AR24" i="2"/>
  <c r="AO24" i="2"/>
  <c r="AL24" i="2"/>
  <c r="AI24" i="2"/>
  <c r="AF24" i="2"/>
  <c r="AC24" i="2"/>
  <c r="Z24" i="2"/>
  <c r="W24" i="2"/>
  <c r="T24" i="2"/>
  <c r="Q24" i="2"/>
  <c r="N24" i="2"/>
  <c r="K24" i="2"/>
  <c r="H24" i="2"/>
  <c r="E24" i="2"/>
  <c r="CA23" i="2"/>
  <c r="BZ23" i="2"/>
  <c r="BY23" i="2"/>
  <c r="BX23" i="2"/>
  <c r="BW23" i="2"/>
  <c r="BV23" i="2"/>
  <c r="BS23" i="2"/>
  <c r="BP23" i="2"/>
  <c r="BM23" i="2"/>
  <c r="BJ23" i="2"/>
  <c r="BG23" i="2"/>
  <c r="BD23" i="2"/>
  <c r="BA23" i="2"/>
  <c r="AX23" i="2"/>
  <c r="AU23" i="2"/>
  <c r="AR23" i="2"/>
  <c r="AO23" i="2"/>
  <c r="AL23" i="2"/>
  <c r="AI23" i="2"/>
  <c r="AF23" i="2"/>
  <c r="AC23" i="2"/>
  <c r="Z23" i="2"/>
  <c r="W23" i="2"/>
  <c r="T23" i="2"/>
  <c r="Q23" i="2"/>
  <c r="N23" i="2"/>
  <c r="K23" i="2"/>
  <c r="H23" i="2"/>
  <c r="E23" i="2"/>
  <c r="CA22" i="2"/>
  <c r="BX22" i="2"/>
  <c r="BV22" i="2"/>
  <c r="BS22" i="2"/>
  <c r="BP22" i="2"/>
  <c r="BM22" i="2"/>
  <c r="BJ22" i="2"/>
  <c r="BG22" i="2"/>
  <c r="BD22" i="2"/>
  <c r="BA22" i="2"/>
  <c r="AX22" i="2"/>
  <c r="AU22" i="2"/>
  <c r="AR22" i="2"/>
  <c r="AO22" i="2"/>
  <c r="AL22" i="2"/>
  <c r="AI22" i="2"/>
  <c r="AF22" i="2"/>
  <c r="AC22" i="2"/>
  <c r="Z22" i="2"/>
  <c r="W22" i="2"/>
  <c r="O22" i="2"/>
  <c r="O30" i="2" s="1"/>
  <c r="O72" i="2" s="1"/>
  <c r="N22" i="2"/>
  <c r="K22" i="2"/>
  <c r="H22" i="2"/>
  <c r="E22" i="2"/>
  <c r="CA21" i="2"/>
  <c r="BZ21" i="2"/>
  <c r="BX21" i="2"/>
  <c r="BW21" i="2"/>
  <c r="BY21" i="2" s="1"/>
  <c r="BV21" i="2"/>
  <c r="BS21" i="2"/>
  <c r="BP21" i="2"/>
  <c r="BM21" i="2"/>
  <c r="BJ21" i="2"/>
  <c r="BG21" i="2"/>
  <c r="BD21" i="2"/>
  <c r="BA21" i="2"/>
  <c r="AX21" i="2"/>
  <c r="AU21" i="2"/>
  <c r="AR21" i="2"/>
  <c r="AO21" i="2"/>
  <c r="AL21" i="2"/>
  <c r="AI21" i="2"/>
  <c r="AF21" i="2"/>
  <c r="AC21" i="2"/>
  <c r="Z21" i="2"/>
  <c r="W21" i="2"/>
  <c r="T21" i="2"/>
  <c r="Q21" i="2"/>
  <c r="N21" i="2"/>
  <c r="K21" i="2"/>
  <c r="H21" i="2"/>
  <c r="E21" i="2"/>
  <c r="CA20" i="2"/>
  <c r="BZ20" i="2"/>
  <c r="BX20" i="2"/>
  <c r="BV20" i="2"/>
  <c r="BS20" i="2"/>
  <c r="BP20" i="2"/>
  <c r="BM20" i="2"/>
  <c r="BJ20" i="2"/>
  <c r="BG20" i="2"/>
  <c r="BD20" i="2"/>
  <c r="BA20" i="2"/>
  <c r="AX20" i="2"/>
  <c r="AU20" i="2"/>
  <c r="AR20" i="2"/>
  <c r="AO20" i="2"/>
  <c r="AL20" i="2"/>
  <c r="AI20" i="2"/>
  <c r="AF20" i="2"/>
  <c r="AA20" i="2"/>
  <c r="AA30" i="2" s="1"/>
  <c r="AA72" i="2" s="1"/>
  <c r="Z20" i="2"/>
  <c r="W20" i="2"/>
  <c r="T20" i="2"/>
  <c r="Q20" i="2"/>
  <c r="N20" i="2"/>
  <c r="K20" i="2"/>
  <c r="H20" i="2"/>
  <c r="E20" i="2"/>
  <c r="CA19" i="2"/>
  <c r="BZ19" i="2"/>
  <c r="BY19" i="2"/>
  <c r="BX19" i="2"/>
  <c r="BW19" i="2"/>
  <c r="BV19" i="2"/>
  <c r="BS19" i="2"/>
  <c r="BP19" i="2"/>
  <c r="BM19" i="2"/>
  <c r="BJ19" i="2"/>
  <c r="BG19" i="2"/>
  <c r="BD19" i="2"/>
  <c r="BA19" i="2"/>
  <c r="AX19" i="2"/>
  <c r="AU19" i="2"/>
  <c r="AR19" i="2"/>
  <c r="AO19" i="2"/>
  <c r="AL19" i="2"/>
  <c r="AI19" i="2"/>
  <c r="AF19" i="2"/>
  <c r="AC19" i="2"/>
  <c r="Z19" i="2"/>
  <c r="W19" i="2"/>
  <c r="T19" i="2"/>
  <c r="Q19" i="2"/>
  <c r="N19" i="2"/>
  <c r="K19" i="2"/>
  <c r="H19" i="2"/>
  <c r="E19" i="2"/>
  <c r="CA18" i="2"/>
  <c r="BZ18" i="2"/>
  <c r="BY18" i="2"/>
  <c r="BX18" i="2"/>
  <c r="BW18" i="2"/>
  <c r="BV18" i="2"/>
  <c r="BS18" i="2"/>
  <c r="BP18" i="2"/>
  <c r="BM18" i="2"/>
  <c r="BJ18" i="2"/>
  <c r="BG18" i="2"/>
  <c r="BD18" i="2"/>
  <c r="BA18" i="2"/>
  <c r="AX18" i="2"/>
  <c r="AU18" i="2"/>
  <c r="AR18" i="2"/>
  <c r="AO18" i="2"/>
  <c r="AL18" i="2"/>
  <c r="AI18" i="2"/>
  <c r="AF18" i="2"/>
  <c r="AC18" i="2"/>
  <c r="Z18" i="2"/>
  <c r="W18" i="2"/>
  <c r="T18" i="2"/>
  <c r="Q18" i="2"/>
  <c r="N18" i="2"/>
  <c r="K18" i="2"/>
  <c r="H18" i="2"/>
  <c r="E18" i="2"/>
  <c r="CA17" i="2"/>
  <c r="BZ17" i="2"/>
  <c r="BY17" i="2"/>
  <c r="BX17" i="2"/>
  <c r="BW17" i="2"/>
  <c r="BV17" i="2"/>
  <c r="BS17" i="2"/>
  <c r="BP17" i="2"/>
  <c r="BM17" i="2"/>
  <c r="BJ17" i="2"/>
  <c r="BG17" i="2"/>
  <c r="BD17" i="2"/>
  <c r="BA17" i="2"/>
  <c r="AX17" i="2"/>
  <c r="AU17" i="2"/>
  <c r="AR17" i="2"/>
  <c r="AO17" i="2"/>
  <c r="AL17" i="2"/>
  <c r="AI17" i="2"/>
  <c r="AF17" i="2"/>
  <c r="AC17" i="2"/>
  <c r="Z17" i="2"/>
  <c r="W17" i="2"/>
  <c r="T17" i="2"/>
  <c r="Q17" i="2"/>
  <c r="N17" i="2"/>
  <c r="K17" i="2"/>
  <c r="E17" i="2"/>
  <c r="BZ16" i="2"/>
  <c r="BW16" i="2"/>
  <c r="BV16" i="2"/>
  <c r="BS16" i="2"/>
  <c r="BP16" i="2"/>
  <c r="BM16" i="2"/>
  <c r="BJ16" i="2"/>
  <c r="BG16" i="2"/>
  <c r="BD16" i="2"/>
  <c r="BA16" i="2"/>
  <c r="AX16" i="2"/>
  <c r="AU16" i="2"/>
  <c r="AT16" i="2"/>
  <c r="AT30" i="2" s="1"/>
  <c r="AR16" i="2"/>
  <c r="AO16" i="2"/>
  <c r="AL16" i="2"/>
  <c r="AH16" i="2"/>
  <c r="AI16" i="2" s="1"/>
  <c r="AF16" i="2"/>
  <c r="AB16" i="2"/>
  <c r="BX16" i="2" s="1"/>
  <c r="Z16" i="2"/>
  <c r="V16" i="2"/>
  <c r="W16" i="2" s="1"/>
  <c r="T16" i="2"/>
  <c r="P16" i="2"/>
  <c r="Q16" i="2" s="1"/>
  <c r="K16" i="2"/>
  <c r="G30" i="2"/>
  <c r="E16" i="2"/>
  <c r="CA15" i="2"/>
  <c r="BZ15" i="2"/>
  <c r="BX15" i="2"/>
  <c r="BW15" i="2"/>
  <c r="BY15" i="2" s="1"/>
  <c r="BV15" i="2"/>
  <c r="BS15" i="2"/>
  <c r="BP15" i="2"/>
  <c r="BM15" i="2"/>
  <c r="BJ15" i="2"/>
  <c r="BG15" i="2"/>
  <c r="BD15" i="2"/>
  <c r="BA15" i="2"/>
  <c r="AX15" i="2"/>
  <c r="AU15" i="2"/>
  <c r="AR15" i="2"/>
  <c r="AO15" i="2"/>
  <c r="AL15" i="2"/>
  <c r="AI15" i="2"/>
  <c r="AF15" i="2"/>
  <c r="AC15" i="2"/>
  <c r="Z15" i="2"/>
  <c r="W15" i="2"/>
  <c r="T15" i="2"/>
  <c r="Q15" i="2"/>
  <c r="N15" i="2"/>
  <c r="K15" i="2"/>
  <c r="H15" i="2"/>
  <c r="E15" i="2"/>
  <c r="BX14" i="2"/>
  <c r="BV14" i="2"/>
  <c r="BS14" i="2"/>
  <c r="BP14" i="2"/>
  <c r="BM14" i="2"/>
  <c r="BJ14" i="2"/>
  <c r="BG14" i="2"/>
  <c r="BD14" i="2"/>
  <c r="BA14" i="2"/>
  <c r="AX14" i="2"/>
  <c r="AU14" i="2"/>
  <c r="AR14" i="2"/>
  <c r="AO14" i="2"/>
  <c r="AL14" i="2"/>
  <c r="AI14" i="2"/>
  <c r="AH14" i="2"/>
  <c r="AF14" i="2"/>
  <c r="AB14" i="2"/>
  <c r="AB30" i="2" s="1"/>
  <c r="V14" i="2"/>
  <c r="U14" i="2"/>
  <c r="U30" i="2" s="1"/>
  <c r="U72" i="2" s="1"/>
  <c r="T14" i="2"/>
  <c r="Q14" i="2"/>
  <c r="P14" i="2"/>
  <c r="P30" i="2" s="1"/>
  <c r="N14" i="2"/>
  <c r="K14" i="2"/>
  <c r="H14" i="2"/>
  <c r="E14" i="2"/>
  <c r="CA13" i="2"/>
  <c r="BZ13" i="2"/>
  <c r="BX13" i="2"/>
  <c r="BY13" i="2" s="1"/>
  <c r="BW13" i="2"/>
  <c r="BV13" i="2"/>
  <c r="BS13" i="2"/>
  <c r="BP13" i="2"/>
  <c r="BM13" i="2"/>
  <c r="BJ13" i="2"/>
  <c r="BG13" i="2"/>
  <c r="BD13" i="2"/>
  <c r="BA13" i="2"/>
  <c r="AX13" i="2"/>
  <c r="AU13" i="2"/>
  <c r="AR13" i="2"/>
  <c r="AO13" i="2"/>
  <c r="AL13" i="2"/>
  <c r="AI13" i="2"/>
  <c r="AF13" i="2"/>
  <c r="AC13" i="2"/>
  <c r="Z13" i="2"/>
  <c r="W13" i="2"/>
  <c r="T13" i="2"/>
  <c r="Q13" i="2"/>
  <c r="N13" i="2"/>
  <c r="K13" i="2"/>
  <c r="H13" i="2"/>
  <c r="E13" i="2"/>
  <c r="CA12" i="2"/>
  <c r="BZ12" i="2"/>
  <c r="BX12" i="2"/>
  <c r="BY12" i="2" s="1"/>
  <c r="BW12" i="2"/>
  <c r="BV12" i="2"/>
  <c r="BS12" i="2"/>
  <c r="BP12" i="2"/>
  <c r="BM12" i="2"/>
  <c r="BJ12" i="2"/>
  <c r="BG12" i="2"/>
  <c r="BD12" i="2"/>
  <c r="BA12" i="2"/>
  <c r="AX12" i="2"/>
  <c r="AU12" i="2"/>
  <c r="AR12" i="2"/>
  <c r="AO12" i="2"/>
  <c r="AL12" i="2"/>
  <c r="AI12" i="2"/>
  <c r="AF12" i="2"/>
  <c r="AC12" i="2"/>
  <c r="Z12" i="2"/>
  <c r="W12" i="2"/>
  <c r="T12" i="2"/>
  <c r="Q12" i="2"/>
  <c r="N12" i="2"/>
  <c r="K12" i="2"/>
  <c r="H12" i="2"/>
  <c r="E12" i="2"/>
  <c r="CA8" i="2"/>
  <c r="BZ8" i="2"/>
  <c r="BY8" i="2"/>
  <c r="BS8" i="2"/>
  <c r="BM8" i="2"/>
  <c r="BG8" i="2"/>
  <c r="BA8" i="2"/>
  <c r="AU8" i="2"/>
  <c r="AO8" i="2"/>
  <c r="AI8" i="2"/>
  <c r="AC8" i="2"/>
  <c r="W8" i="2"/>
  <c r="Q8" i="2"/>
  <c r="K8" i="2"/>
  <c r="H8" i="2"/>
  <c r="E8" i="2"/>
  <c r="AW34" i="1"/>
  <c r="AW48" i="1"/>
  <c r="AW46" i="1"/>
  <c r="AW16" i="1"/>
  <c r="AV46" i="1"/>
  <c r="AV29" i="1"/>
  <c r="AV58" i="1"/>
  <c r="AV54" i="1"/>
  <c r="AV48" i="1"/>
  <c r="AV38" i="1"/>
  <c r="AV30" i="1"/>
  <c r="BY16" i="3" l="1"/>
  <c r="BY33" i="3"/>
  <c r="BY38" i="3"/>
  <c r="BY42" i="3"/>
  <c r="BY62" i="3"/>
  <c r="BY13" i="3"/>
  <c r="BY18" i="3"/>
  <c r="BY34" i="3"/>
  <c r="BY39" i="3"/>
  <c r="BY41" i="3"/>
  <c r="BY68" i="3"/>
  <c r="BD57" i="3"/>
  <c r="BD66" i="3"/>
  <c r="BD50" i="3"/>
  <c r="BC30" i="3"/>
  <c r="BB30" i="3"/>
  <c r="BD16" i="3"/>
  <c r="BZ36" i="3"/>
  <c r="BZ54" i="3"/>
  <c r="BZ66" i="3"/>
  <c r="AY72" i="2"/>
  <c r="CA65" i="3"/>
  <c r="BZ69" i="3"/>
  <c r="BZ35" i="3"/>
  <c r="BZ13" i="3"/>
  <c r="BD35" i="3"/>
  <c r="BZ38" i="3"/>
  <c r="BZ65" i="3"/>
  <c r="CB65" i="3" s="1"/>
  <c r="BZ62" i="3"/>
  <c r="BZ50" i="3"/>
  <c r="CB50" i="3" s="1"/>
  <c r="BZ68" i="3"/>
  <c r="BZ64" i="3"/>
  <c r="CB64" i="3" s="1"/>
  <c r="AL12" i="3"/>
  <c r="AF64" i="3"/>
  <c r="CA68" i="3"/>
  <c r="BZ37" i="3"/>
  <c r="BZ43" i="3"/>
  <c r="CB43" i="3" s="1"/>
  <c r="BZ15" i="3"/>
  <c r="BZ18" i="3"/>
  <c r="BZ49" i="3"/>
  <c r="CB49" i="3" s="1"/>
  <c r="BZ55" i="3"/>
  <c r="CB55" i="3" s="1"/>
  <c r="CA66" i="3"/>
  <c r="CB66" i="3" s="1"/>
  <c r="BZ40" i="3"/>
  <c r="N15" i="3"/>
  <c r="N37" i="3"/>
  <c r="BZ67" i="3"/>
  <c r="CB67" i="3" s="1"/>
  <c r="CB69" i="3"/>
  <c r="H67" i="3"/>
  <c r="CA59" i="3"/>
  <c r="F30" i="3"/>
  <c r="BY59" i="3"/>
  <c r="BY60" i="3"/>
  <c r="CA16" i="3"/>
  <c r="CB16" i="3" s="1"/>
  <c r="AL22" i="3"/>
  <c r="BY27" i="3"/>
  <c r="I30" i="3"/>
  <c r="W30" i="3"/>
  <c r="AF12" i="3"/>
  <c r="AZ30" i="3"/>
  <c r="AZ72" i="3" s="1"/>
  <c r="BV12" i="3"/>
  <c r="BY17" i="3"/>
  <c r="CA17" i="3"/>
  <c r="CB17" i="3" s="1"/>
  <c r="CA19" i="3"/>
  <c r="H19" i="3"/>
  <c r="BW21" i="3"/>
  <c r="BY21" i="3" s="1"/>
  <c r="AC21" i="3"/>
  <c r="AC30" i="3" s="1"/>
  <c r="AB30" i="3"/>
  <c r="BX22" i="3"/>
  <c r="BY22" i="3" s="1"/>
  <c r="BW24" i="3"/>
  <c r="BW26" i="3"/>
  <c r="BX27" i="3"/>
  <c r="BA30" i="3"/>
  <c r="BP12" i="3"/>
  <c r="CA12" i="3"/>
  <c r="CA18" i="3"/>
  <c r="CA23" i="3"/>
  <c r="BW25" i="3"/>
  <c r="BY25" i="3" s="1"/>
  <c r="BX26" i="3"/>
  <c r="H8" i="3"/>
  <c r="BJ12" i="3"/>
  <c r="CA13" i="3"/>
  <c r="CA27" i="3"/>
  <c r="AA72" i="3"/>
  <c r="AH30" i="3"/>
  <c r="BD12" i="3"/>
  <c r="CA14" i="3"/>
  <c r="CB14" i="3" s="1"/>
  <c r="BM20" i="3"/>
  <c r="BM30" i="3" s="1"/>
  <c r="BK30" i="3"/>
  <c r="BK72" i="3" s="1"/>
  <c r="CA21" i="3"/>
  <c r="BG21" i="3"/>
  <c r="BG30" i="3" s="1"/>
  <c r="BX24" i="3"/>
  <c r="BZ27" i="3"/>
  <c r="AU29" i="3"/>
  <c r="AU30" i="3" s="1"/>
  <c r="AS30" i="3"/>
  <c r="AS72" i="3" s="1"/>
  <c r="V30" i="3"/>
  <c r="AI30" i="3"/>
  <c r="AX12" i="3"/>
  <c r="BL72" i="3"/>
  <c r="BS30" i="3"/>
  <c r="BS72" i="3" s="1"/>
  <c r="BY15" i="3"/>
  <c r="CA15" i="3"/>
  <c r="AX20" i="3"/>
  <c r="BZ21" i="3"/>
  <c r="BW23" i="3"/>
  <c r="AO24" i="3"/>
  <c r="AO30" i="3" s="1"/>
  <c r="AM30" i="3"/>
  <c r="AM72" i="3" s="1"/>
  <c r="CA25" i="3"/>
  <c r="CA26" i="3"/>
  <c r="BW28" i="3"/>
  <c r="BY28" i="3" s="1"/>
  <c r="K30" i="3"/>
  <c r="BZ23" i="3"/>
  <c r="C70" i="3"/>
  <c r="BW32" i="3"/>
  <c r="E32" i="3"/>
  <c r="R70" i="3"/>
  <c r="T32" i="3"/>
  <c r="AP70" i="3"/>
  <c r="AR32" i="3"/>
  <c r="AW70" i="3"/>
  <c r="BE70" i="3"/>
  <c r="H36" i="3"/>
  <c r="CA36" i="3"/>
  <c r="CB36" i="3" s="1"/>
  <c r="BZ12" i="3"/>
  <c r="BJ19" i="3"/>
  <c r="T20" i="3"/>
  <c r="BD20" i="3"/>
  <c r="E21" i="3"/>
  <c r="E30" i="3" s="1"/>
  <c r="N21" i="3"/>
  <c r="N30" i="3" s="1"/>
  <c r="AX21" i="3"/>
  <c r="H22" i="3"/>
  <c r="AR22" i="3"/>
  <c r="BZ22" i="3"/>
  <c r="CB22" i="3" s="1"/>
  <c r="AL23" i="3"/>
  <c r="BV23" i="3"/>
  <c r="AF24" i="3"/>
  <c r="BP24" i="3"/>
  <c r="Z25" i="3"/>
  <c r="BJ25" i="3"/>
  <c r="T26" i="3"/>
  <c r="BD26" i="3"/>
  <c r="E27" i="3"/>
  <c r="N27" i="3"/>
  <c r="AX27" i="3"/>
  <c r="H28" i="3"/>
  <c r="AR28" i="3"/>
  <c r="BZ28" i="3"/>
  <c r="CB28" i="3" s="1"/>
  <c r="AL29" i="3"/>
  <c r="BV29" i="3"/>
  <c r="C30" i="3"/>
  <c r="C72" i="3" s="1"/>
  <c r="D70" i="3"/>
  <c r="BX32" i="3"/>
  <c r="AI32" i="3"/>
  <c r="H38" i="3"/>
  <c r="CA38" i="3"/>
  <c r="H12" i="3"/>
  <c r="T12" i="3"/>
  <c r="Z12" i="3"/>
  <c r="AR12" i="3"/>
  <c r="H20" i="3"/>
  <c r="AR20" i="3"/>
  <c r="BZ20" i="3"/>
  <c r="CB20" i="3" s="1"/>
  <c r="AL21" i="3"/>
  <c r="AL30" i="3" s="1"/>
  <c r="BV21" i="3"/>
  <c r="AF22" i="3"/>
  <c r="BP22" i="3"/>
  <c r="Z23" i="3"/>
  <c r="BJ23" i="3"/>
  <c r="T24" i="3"/>
  <c r="BD24" i="3"/>
  <c r="N25" i="3"/>
  <c r="AX25" i="3"/>
  <c r="H26" i="3"/>
  <c r="AR26" i="3"/>
  <c r="BZ26" i="3"/>
  <c r="AL27" i="3"/>
  <c r="BV27" i="3"/>
  <c r="AF28" i="3"/>
  <c r="BP28" i="3"/>
  <c r="BW29" i="3"/>
  <c r="Z29" i="3"/>
  <c r="BJ29" i="3"/>
  <c r="BX29" i="3"/>
  <c r="CA32" i="3"/>
  <c r="AD70" i="3"/>
  <c r="AF32" i="3"/>
  <c r="AK70" i="3"/>
  <c r="BA32" i="3"/>
  <c r="CA41" i="3"/>
  <c r="H41" i="3"/>
  <c r="BP41" i="3"/>
  <c r="BZ41" i="3"/>
  <c r="H35" i="3"/>
  <c r="CA35" i="3"/>
  <c r="AG30" i="3"/>
  <c r="AG72" i="3" s="1"/>
  <c r="BQ30" i="3"/>
  <c r="BQ72" i="3" s="1"/>
  <c r="BZ19" i="3"/>
  <c r="BX23" i="3"/>
  <c r="BZ25" i="3"/>
  <c r="I70" i="3"/>
  <c r="W32" i="3"/>
  <c r="AM70" i="3"/>
  <c r="AO32" i="3"/>
  <c r="AU32" i="3"/>
  <c r="BI70" i="3"/>
  <c r="BX44" i="3"/>
  <c r="BW50" i="3"/>
  <c r="BY50" i="3" s="1"/>
  <c r="F70" i="3"/>
  <c r="H32" i="3"/>
  <c r="BZ32" i="3"/>
  <c r="AB70" i="3"/>
  <c r="AC32" i="3"/>
  <c r="H39" i="3"/>
  <c r="CA39" i="3"/>
  <c r="CB39" i="3" s="1"/>
  <c r="D30" i="3"/>
  <c r="D72" i="3" s="1"/>
  <c r="AN30" i="3"/>
  <c r="AN72" i="3" s="1"/>
  <c r="BX12" i="3"/>
  <c r="BY12" i="3" s="1"/>
  <c r="BV19" i="3"/>
  <c r="AF20" i="3"/>
  <c r="BP20" i="3"/>
  <c r="Z21" i="3"/>
  <c r="BJ21" i="3"/>
  <c r="T22" i="3"/>
  <c r="BD22" i="3"/>
  <c r="N23" i="3"/>
  <c r="AX23" i="3"/>
  <c r="H24" i="3"/>
  <c r="AR24" i="3"/>
  <c r="BZ24" i="3"/>
  <c r="CB24" i="3" s="1"/>
  <c r="AL25" i="3"/>
  <c r="BV25" i="3"/>
  <c r="AF26" i="3"/>
  <c r="BP26" i="3"/>
  <c r="Z27" i="3"/>
  <c r="BJ27" i="3"/>
  <c r="T28" i="3"/>
  <c r="BD28" i="3"/>
  <c r="N29" i="3"/>
  <c r="AX29" i="3"/>
  <c r="BZ29" i="3"/>
  <c r="CB29" i="3" s="1"/>
  <c r="Q32" i="3"/>
  <c r="X70" i="3"/>
  <c r="Z32" i="3"/>
  <c r="CA34" i="3"/>
  <c r="BW35" i="3"/>
  <c r="BY35" i="3" s="1"/>
  <c r="E35" i="3"/>
  <c r="L70" i="3"/>
  <c r="N32" i="3"/>
  <c r="S70" i="3"/>
  <c r="AA70" i="3"/>
  <c r="AH70" i="3"/>
  <c r="BC70" i="3"/>
  <c r="BK70" i="3"/>
  <c r="AF33" i="3"/>
  <c r="BP33" i="3"/>
  <c r="E34" i="3"/>
  <c r="N34" i="3"/>
  <c r="CA37" i="3"/>
  <c r="CA40" i="3"/>
  <c r="BW43" i="3"/>
  <c r="BY43" i="3" s="1"/>
  <c r="BW44" i="3"/>
  <c r="BS44" i="3"/>
  <c r="BS70" i="3" s="1"/>
  <c r="BZ47" i="3"/>
  <c r="CB47" i="3" s="1"/>
  <c r="H47" i="3"/>
  <c r="BW49" i="3"/>
  <c r="BY49" i="3" s="1"/>
  <c r="G70" i="3"/>
  <c r="G72" i="3" s="1"/>
  <c r="M8" i="3" s="1"/>
  <c r="O70" i="3"/>
  <c r="O72" i="3" s="1"/>
  <c r="V70" i="3"/>
  <c r="AJ70" i="3"/>
  <c r="AL32" i="3"/>
  <c r="AQ70" i="3"/>
  <c r="AY70" i="3"/>
  <c r="AY72" i="3" s="1"/>
  <c r="BM70" i="3"/>
  <c r="BM72" i="3" s="1"/>
  <c r="T33" i="3"/>
  <c r="BD33" i="3"/>
  <c r="AL34" i="3"/>
  <c r="AO43" i="3"/>
  <c r="BZ45" i="3"/>
  <c r="CA53" i="3"/>
  <c r="CA45" i="3"/>
  <c r="BW46" i="3"/>
  <c r="BY46" i="3" s="1"/>
  <c r="CA48" i="3"/>
  <c r="CB48" i="3" s="1"/>
  <c r="BO70" i="3"/>
  <c r="H33" i="3"/>
  <c r="AR33" i="3"/>
  <c r="Z34" i="3"/>
  <c r="CA42" i="3"/>
  <c r="AI44" i="3"/>
  <c r="BW45" i="3"/>
  <c r="BY45" i="3" s="1"/>
  <c r="K45" i="3"/>
  <c r="K70" i="3" s="1"/>
  <c r="K72" i="3" s="1"/>
  <c r="BW47" i="3"/>
  <c r="BY47" i="3" s="1"/>
  <c r="AV70" i="3"/>
  <c r="BB70" i="3"/>
  <c r="BH70" i="3"/>
  <c r="BN70" i="3"/>
  <c r="BT70" i="3"/>
  <c r="BZ33" i="3"/>
  <c r="CB33" i="3" s="1"/>
  <c r="BZ34" i="3"/>
  <c r="BJ41" i="3"/>
  <c r="T42" i="3"/>
  <c r="BD42" i="3"/>
  <c r="E43" i="3"/>
  <c r="N43" i="3"/>
  <c r="AX43" i="3"/>
  <c r="H44" i="3"/>
  <c r="AR44" i="3"/>
  <c r="BZ44" i="3"/>
  <c r="CB44" i="3" s="1"/>
  <c r="AL45" i="3"/>
  <c r="K48" i="3"/>
  <c r="T48" i="3"/>
  <c r="AC48" i="3"/>
  <c r="AL48" i="3"/>
  <c r="AU48" i="3"/>
  <c r="BD48" i="3"/>
  <c r="BM48" i="3"/>
  <c r="BV48" i="3"/>
  <c r="CA51" i="3"/>
  <c r="CB56" i="3"/>
  <c r="H58" i="3"/>
  <c r="BZ58" i="3"/>
  <c r="CB58" i="3" s="1"/>
  <c r="AX32" i="3"/>
  <c r="BD32" i="3"/>
  <c r="BJ32" i="3"/>
  <c r="BP32" i="3"/>
  <c r="BV32" i="3"/>
  <c r="H42" i="3"/>
  <c r="AR42" i="3"/>
  <c r="BZ42" i="3"/>
  <c r="AL43" i="3"/>
  <c r="BV43" i="3"/>
  <c r="AF44" i="3"/>
  <c r="BP44" i="3"/>
  <c r="Z45" i="3"/>
  <c r="E48" i="3"/>
  <c r="N48" i="3"/>
  <c r="W48" i="3"/>
  <c r="AF48" i="3"/>
  <c r="AO48" i="3"/>
  <c r="AX48" i="3"/>
  <c r="BG48" i="3"/>
  <c r="BG70" i="3" s="1"/>
  <c r="BP48" i="3"/>
  <c r="BW48" i="3"/>
  <c r="BY48" i="3" s="1"/>
  <c r="BW54" i="3"/>
  <c r="BY54" i="3" s="1"/>
  <c r="BZ46" i="3"/>
  <c r="CB46" i="3" s="1"/>
  <c r="E51" i="3"/>
  <c r="BW51" i="3"/>
  <c r="BY51" i="3" s="1"/>
  <c r="BX53" i="3"/>
  <c r="BF70" i="3"/>
  <c r="BF72" i="3" s="1"/>
  <c r="BL70" i="3"/>
  <c r="BR70" i="3"/>
  <c r="BR72" i="3" s="1"/>
  <c r="BV41" i="3"/>
  <c r="AF42" i="3"/>
  <c r="BP42" i="3"/>
  <c r="Z43" i="3"/>
  <c r="BJ43" i="3"/>
  <c r="T44" i="3"/>
  <c r="BD44" i="3"/>
  <c r="N45" i="3"/>
  <c r="Q48" i="3"/>
  <c r="Z48" i="3"/>
  <c r="AI48" i="3"/>
  <c r="AR48" i="3"/>
  <c r="BA48" i="3"/>
  <c r="BJ48" i="3"/>
  <c r="BS48" i="3"/>
  <c r="CB54" i="3"/>
  <c r="BW56" i="3"/>
  <c r="BY56" i="3" s="1"/>
  <c r="H48" i="3"/>
  <c r="H49" i="3"/>
  <c r="H50" i="3"/>
  <c r="AU51" i="3"/>
  <c r="H52" i="3"/>
  <c r="Q52" i="3"/>
  <c r="Z52" i="3"/>
  <c r="AI52" i="3"/>
  <c r="AR52" i="3"/>
  <c r="BA52" i="3"/>
  <c r="BJ52" i="3"/>
  <c r="BS52" i="3"/>
  <c r="BZ52" i="3"/>
  <c r="CB52" i="3" s="1"/>
  <c r="K53" i="3"/>
  <c r="T53" i="3"/>
  <c r="AC53" i="3"/>
  <c r="AL53" i="3"/>
  <c r="AU53" i="3"/>
  <c r="BD53" i="3"/>
  <c r="BM53" i="3"/>
  <c r="BV53" i="3"/>
  <c r="K55" i="3"/>
  <c r="T55" i="3"/>
  <c r="AC55" i="3"/>
  <c r="AL55" i="3"/>
  <c r="AU55" i="3"/>
  <c r="BD55" i="3"/>
  <c r="BM55" i="3"/>
  <c r="BV55" i="3"/>
  <c r="CA57" i="3"/>
  <c r="Q57" i="3"/>
  <c r="T59" i="3"/>
  <c r="BD59" i="3"/>
  <c r="BY61" i="3"/>
  <c r="CA63" i="3"/>
  <c r="BZ51" i="3"/>
  <c r="BW53" i="3"/>
  <c r="BW55" i="3"/>
  <c r="BY55" i="3" s="1"/>
  <c r="BW57" i="3"/>
  <c r="BY57" i="3" s="1"/>
  <c r="BX57" i="3"/>
  <c r="BZ57" i="3"/>
  <c r="BG51" i="3"/>
  <c r="BV51" i="3"/>
  <c r="E52" i="3"/>
  <c r="N52" i="3"/>
  <c r="W52" i="3"/>
  <c r="AF52" i="3"/>
  <c r="AO52" i="3"/>
  <c r="AX52" i="3"/>
  <c r="BG52" i="3"/>
  <c r="BP52" i="3"/>
  <c r="BW52" i="3"/>
  <c r="BY52" i="3" s="1"/>
  <c r="BZ53" i="3"/>
  <c r="H53" i="3"/>
  <c r="Q53" i="3"/>
  <c r="Z53" i="3"/>
  <c r="AI53" i="3"/>
  <c r="AR53" i="3"/>
  <c r="BA53" i="3"/>
  <c r="BJ53" i="3"/>
  <c r="BS53" i="3"/>
  <c r="Q55" i="3"/>
  <c r="Z55" i="3"/>
  <c r="AI55" i="3"/>
  <c r="AR55" i="3"/>
  <c r="BA55" i="3"/>
  <c r="BJ55" i="3"/>
  <c r="BS55" i="3"/>
  <c r="E57" i="3"/>
  <c r="BY58" i="3"/>
  <c r="CA60" i="3"/>
  <c r="H54" i="3"/>
  <c r="H55" i="3"/>
  <c r="H56" i="3"/>
  <c r="Z57" i="3"/>
  <c r="BJ57" i="3"/>
  <c r="N58" i="3"/>
  <c r="AX58" i="3"/>
  <c r="Z59" i="3"/>
  <c r="BJ59" i="3"/>
  <c r="AL60" i="3"/>
  <c r="BV60" i="3"/>
  <c r="N61" i="3"/>
  <c r="AX61" i="3"/>
  <c r="Z62" i="3"/>
  <c r="BJ62" i="3"/>
  <c r="T63" i="3"/>
  <c r="BZ63" i="3"/>
  <c r="CB63" i="3" s="1"/>
  <c r="H57" i="3"/>
  <c r="BX63" i="3"/>
  <c r="AL57" i="3"/>
  <c r="BV57" i="3"/>
  <c r="Z58" i="3"/>
  <c r="BJ58" i="3"/>
  <c r="AL59" i="3"/>
  <c r="BV59" i="3"/>
  <c r="N60" i="3"/>
  <c r="AX60" i="3"/>
  <c r="Z61" i="3"/>
  <c r="BJ61" i="3"/>
  <c r="CA62" i="3"/>
  <c r="AL62" i="3"/>
  <c r="BZ59" i="3"/>
  <c r="CB59" i="3" s="1"/>
  <c r="BZ60" i="3"/>
  <c r="BZ61" i="3"/>
  <c r="CB61" i="3" s="1"/>
  <c r="E63" i="3"/>
  <c r="BW63" i="3"/>
  <c r="BY63" i="3" s="1"/>
  <c r="AO63" i="3"/>
  <c r="H62" i="3"/>
  <c r="BY67" i="3"/>
  <c r="Q63" i="3"/>
  <c r="BA63" i="3"/>
  <c r="E64" i="3"/>
  <c r="BW64" i="3"/>
  <c r="BY64" i="3" s="1"/>
  <c r="BX65" i="3"/>
  <c r="BY65" i="3" s="1"/>
  <c r="BX66" i="3"/>
  <c r="BY66" i="3" s="1"/>
  <c r="BX67" i="3"/>
  <c r="CB8" i="2"/>
  <c r="CB40" i="2"/>
  <c r="CB43" i="2"/>
  <c r="CA58" i="2"/>
  <c r="CB65" i="2"/>
  <c r="CB47" i="2"/>
  <c r="CB13" i="2"/>
  <c r="CB66" i="2"/>
  <c r="CB69" i="2"/>
  <c r="CB15" i="2"/>
  <c r="CB27" i="2"/>
  <c r="CB44" i="2"/>
  <c r="CB51" i="2"/>
  <c r="CB68" i="2"/>
  <c r="CB12" i="2"/>
  <c r="CB20" i="2"/>
  <c r="CB35" i="2"/>
  <c r="CB39" i="2"/>
  <c r="CB42" i="2"/>
  <c r="CB67" i="2"/>
  <c r="CB50" i="2"/>
  <c r="CB54" i="2"/>
  <c r="CB41" i="2"/>
  <c r="CB45" i="2"/>
  <c r="CB48" i="2"/>
  <c r="CB49" i="2"/>
  <c r="CB53" i="2"/>
  <c r="CB59" i="2"/>
  <c r="CB62" i="2"/>
  <c r="CB56" i="2"/>
  <c r="CB64" i="2"/>
  <c r="CB21" i="2"/>
  <c r="CB33" i="2"/>
  <c r="CB63" i="2"/>
  <c r="CB36" i="2"/>
  <c r="CB60" i="2"/>
  <c r="CB17" i="2"/>
  <c r="CB37" i="2"/>
  <c r="CB55" i="2"/>
  <c r="CB57" i="2"/>
  <c r="CB61" i="2"/>
  <c r="H70" i="2"/>
  <c r="G72" i="2"/>
  <c r="M8" i="2" s="1"/>
  <c r="N8" i="2" s="1"/>
  <c r="F72" i="2"/>
  <c r="L8" i="2" s="1"/>
  <c r="CB19" i="2"/>
  <c r="CB18" i="2"/>
  <c r="CB25" i="2"/>
  <c r="CB23" i="2"/>
  <c r="CB26" i="2"/>
  <c r="AT72" i="2"/>
  <c r="AU72" i="2" s="1"/>
  <c r="AU30" i="2"/>
  <c r="BY16" i="2"/>
  <c r="AB72" i="2"/>
  <c r="CB32" i="2"/>
  <c r="C72" i="2"/>
  <c r="E30" i="2"/>
  <c r="T30" i="2"/>
  <c r="Z14" i="2"/>
  <c r="AC16" i="2"/>
  <c r="AC20" i="2"/>
  <c r="T22" i="2"/>
  <c r="W30" i="2"/>
  <c r="AG72" i="2"/>
  <c r="AN72" i="2"/>
  <c r="AO72" i="2" s="1"/>
  <c r="AB70" i="2"/>
  <c r="BY34" i="2"/>
  <c r="L70" i="2"/>
  <c r="N70" i="2" s="1"/>
  <c r="N38" i="2"/>
  <c r="AD70" i="2"/>
  <c r="AF70" i="2" s="1"/>
  <c r="AF38" i="2"/>
  <c r="AO70" i="2"/>
  <c r="AV70" i="2"/>
  <c r="AX70" i="2" s="1"/>
  <c r="AX38" i="2"/>
  <c r="BG70" i="2"/>
  <c r="BN70" i="2"/>
  <c r="BP70" i="2" s="1"/>
  <c r="BP38" i="2"/>
  <c r="BZ38" i="2"/>
  <c r="CB38" i="2" s="1"/>
  <c r="BY52" i="2"/>
  <c r="BY61" i="2"/>
  <c r="AC70" i="2"/>
  <c r="BZ14" i="2"/>
  <c r="BW22" i="2"/>
  <c r="BY22" i="2" s="1"/>
  <c r="AH30" i="2"/>
  <c r="BA72" i="2"/>
  <c r="BM72" i="2"/>
  <c r="BX30" i="2"/>
  <c r="Q70" i="2"/>
  <c r="BY46" i="2"/>
  <c r="CB52" i="2"/>
  <c r="AC58" i="2"/>
  <c r="AU58" i="2"/>
  <c r="BM58" i="2"/>
  <c r="W72" i="2"/>
  <c r="AC14" i="2"/>
  <c r="AL30" i="2"/>
  <c r="CA14" i="2"/>
  <c r="N16" i="2"/>
  <c r="CA16" i="2"/>
  <c r="CB16" i="2" s="1"/>
  <c r="BY28" i="2"/>
  <c r="BW29" i="2"/>
  <c r="BY29" i="2" s="1"/>
  <c r="BL72" i="2"/>
  <c r="R70" i="2"/>
  <c r="T70" i="2" s="1"/>
  <c r="T32" i="2"/>
  <c r="BX38" i="2"/>
  <c r="D70" i="2"/>
  <c r="D72" i="2" s="1"/>
  <c r="X70" i="2"/>
  <c r="Z38" i="2"/>
  <c r="AI70" i="2"/>
  <c r="AP70" i="2"/>
  <c r="AR70" i="2" s="1"/>
  <c r="AR38" i="2"/>
  <c r="BA70" i="2"/>
  <c r="BH70" i="2"/>
  <c r="BJ70" i="2" s="1"/>
  <c r="BJ38" i="2"/>
  <c r="BS70" i="2"/>
  <c r="BW54" i="2"/>
  <c r="BY54" i="2" s="1"/>
  <c r="BY60" i="2"/>
  <c r="BX70" i="2"/>
  <c r="BX34" i="2"/>
  <c r="Q34" i="2"/>
  <c r="P70" i="2"/>
  <c r="P72" i="2" s="1"/>
  <c r="Q30" i="2"/>
  <c r="BA30" i="2"/>
  <c r="AC72" i="2"/>
  <c r="W14" i="2"/>
  <c r="AF30" i="2"/>
  <c r="BW14" i="2"/>
  <c r="BY14" i="2" s="1"/>
  <c r="BW20" i="2"/>
  <c r="BY20" i="2" s="1"/>
  <c r="Q22" i="2"/>
  <c r="BZ22" i="2"/>
  <c r="CB22" i="2" s="1"/>
  <c r="CB24" i="2"/>
  <c r="BY26" i="2"/>
  <c r="CB28" i="2"/>
  <c r="AU29" i="2"/>
  <c r="AC30" i="2"/>
  <c r="W32" i="2"/>
  <c r="BW32" i="2"/>
  <c r="Z34" i="2"/>
  <c r="Y70" i="2"/>
  <c r="AK70" i="2"/>
  <c r="AL34" i="2"/>
  <c r="AJ70" i="2"/>
  <c r="AL38" i="2"/>
  <c r="AU70" i="2"/>
  <c r="BB70" i="2"/>
  <c r="BD70" i="2" s="1"/>
  <c r="BD38" i="2"/>
  <c r="BM70" i="2"/>
  <c r="BT70" i="2"/>
  <c r="BV70" i="2" s="1"/>
  <c r="BV38" i="2"/>
  <c r="BZ46" i="2"/>
  <c r="CB46" i="2" s="1"/>
  <c r="Z46" i="2"/>
  <c r="BY47" i="2"/>
  <c r="BY59" i="2"/>
  <c r="BY62" i="2"/>
  <c r="AX29" i="2"/>
  <c r="BZ29" i="2"/>
  <c r="CB29" i="2" s="1"/>
  <c r="Q32" i="2"/>
  <c r="H34" i="2"/>
  <c r="AI34" i="2"/>
  <c r="W52" i="2"/>
  <c r="BZ58" i="2"/>
  <c r="AU63" i="2"/>
  <c r="BW38" i="2"/>
  <c r="BY38" i="2" s="1"/>
  <c r="AC34" i="2"/>
  <c r="CA34" i="2"/>
  <c r="H38" i="2"/>
  <c r="N48" i="2"/>
  <c r="Z52" i="2"/>
  <c r="AI38" i="2"/>
  <c r="AO38" i="2"/>
  <c r="AU38" i="2"/>
  <c r="BA38" i="2"/>
  <c r="BG38" i="2"/>
  <c r="BM38" i="2"/>
  <c r="BS38" i="2"/>
  <c r="BW58" i="2"/>
  <c r="BY58" i="2" s="1"/>
  <c r="E38" i="2"/>
  <c r="Q48" i="2"/>
  <c r="AS48" i="1"/>
  <c r="AS54" i="1"/>
  <c r="AS46" i="1"/>
  <c r="AS69" i="1"/>
  <c r="AS29" i="1"/>
  <c r="BY29" i="3" l="1"/>
  <c r="BY26" i="3"/>
  <c r="BY44" i="3"/>
  <c r="CB38" i="3"/>
  <c r="CB13" i="3"/>
  <c r="CB35" i="3"/>
  <c r="CB62" i="3"/>
  <c r="CB40" i="3"/>
  <c r="CB68" i="3"/>
  <c r="CB37" i="3"/>
  <c r="BD30" i="3"/>
  <c r="BD70" i="3"/>
  <c r="CB18" i="3"/>
  <c r="CB23" i="3"/>
  <c r="CB51" i="3"/>
  <c r="CB34" i="3"/>
  <c r="CB42" i="3"/>
  <c r="CB15" i="3"/>
  <c r="CB25" i="3"/>
  <c r="CB41" i="3"/>
  <c r="CB21" i="3"/>
  <c r="F72" i="3"/>
  <c r="L8" i="3" s="1"/>
  <c r="N8" i="3" s="1"/>
  <c r="CB26" i="3"/>
  <c r="CB19" i="3"/>
  <c r="E72" i="3"/>
  <c r="AO72" i="3"/>
  <c r="BG72" i="3"/>
  <c r="BA72" i="3"/>
  <c r="M72" i="3"/>
  <c r="S8" i="3" s="1"/>
  <c r="H70" i="3"/>
  <c r="AO70" i="3"/>
  <c r="CA70" i="3"/>
  <c r="T70" i="3"/>
  <c r="CB53" i="3"/>
  <c r="CB57" i="3"/>
  <c r="AX70" i="3"/>
  <c r="AR30" i="3"/>
  <c r="AI70" i="3"/>
  <c r="AI72" i="3" s="1"/>
  <c r="BZ30" i="3"/>
  <c r="CB12" i="3"/>
  <c r="CB27" i="3"/>
  <c r="CA30" i="3"/>
  <c r="AB72" i="3"/>
  <c r="Z70" i="3"/>
  <c r="W70" i="3"/>
  <c r="W72" i="3" s="1"/>
  <c r="BA70" i="3"/>
  <c r="Z30" i="3"/>
  <c r="BX70" i="3"/>
  <c r="BY23" i="3"/>
  <c r="AH72" i="3"/>
  <c r="BP30" i="3"/>
  <c r="BW30" i="3"/>
  <c r="AF30" i="3"/>
  <c r="CB60" i="3"/>
  <c r="BV70" i="3"/>
  <c r="AL70" i="3"/>
  <c r="N70" i="3"/>
  <c r="AC70" i="3"/>
  <c r="AC72" i="3" s="1"/>
  <c r="T30" i="3"/>
  <c r="E70" i="3"/>
  <c r="BJ30" i="3"/>
  <c r="BV30" i="3"/>
  <c r="BP70" i="3"/>
  <c r="Q70" i="3"/>
  <c r="Q72" i="3" s="1"/>
  <c r="BX30" i="3"/>
  <c r="AF70" i="3"/>
  <c r="H30" i="3"/>
  <c r="AR70" i="3"/>
  <c r="BW70" i="3"/>
  <c r="BY32" i="3"/>
  <c r="V72" i="3"/>
  <c r="BE72" i="3"/>
  <c r="I72" i="3"/>
  <c r="BY53" i="3"/>
  <c r="BJ70" i="3"/>
  <c r="CB45" i="3"/>
  <c r="BZ70" i="3"/>
  <c r="CB32" i="3"/>
  <c r="AU70" i="3"/>
  <c r="AU72" i="3" s="1"/>
  <c r="AX30" i="3"/>
  <c r="BY24" i="3"/>
  <c r="BY30" i="3" s="1"/>
  <c r="M72" i="2"/>
  <c r="S8" i="2" s="1"/>
  <c r="CB58" i="2"/>
  <c r="CA70" i="2"/>
  <c r="AL70" i="2"/>
  <c r="Z70" i="2"/>
  <c r="BZ70" i="2"/>
  <c r="CC21" i="2"/>
  <c r="H72" i="2"/>
  <c r="CA30" i="2"/>
  <c r="CA72" i="2" s="1"/>
  <c r="P77" i="2"/>
  <c r="Q72" i="2"/>
  <c r="CB14" i="2"/>
  <c r="BW70" i="2"/>
  <c r="BY70" i="2" s="1"/>
  <c r="BY32" i="2"/>
  <c r="BX72" i="2"/>
  <c r="L72" i="2"/>
  <c r="AI72" i="2"/>
  <c r="BZ30" i="2"/>
  <c r="E70" i="2"/>
  <c r="BW30" i="2"/>
  <c r="CB34" i="2"/>
  <c r="AH72" i="2"/>
  <c r="AI30" i="2"/>
  <c r="E72" i="2"/>
  <c r="S72" i="2"/>
  <c r="Y8" i="2" s="1"/>
  <c r="Y72" i="2" s="1"/>
  <c r="AE8" i="2" s="1"/>
  <c r="AE72" i="2" s="1"/>
  <c r="AK8" i="2" s="1"/>
  <c r="AK72" i="2" s="1"/>
  <c r="AQ8" i="2" s="1"/>
  <c r="AQ72" i="2" s="1"/>
  <c r="AW8" i="2" s="1"/>
  <c r="AW72" i="2" s="1"/>
  <c r="BC8" i="2" s="1"/>
  <c r="BC72" i="2" s="1"/>
  <c r="BI8" i="2" s="1"/>
  <c r="BI72" i="2" s="1"/>
  <c r="BO8" i="2" s="1"/>
  <c r="BO72" i="2" s="1"/>
  <c r="BU8" i="2" s="1"/>
  <c r="BU72" i="2" s="1"/>
  <c r="AT63" i="1"/>
  <c r="BX72" i="3" l="1"/>
  <c r="L72" i="3"/>
  <c r="R8" i="3" s="1"/>
  <c r="R72" i="3" s="1"/>
  <c r="X8" i="3" s="1"/>
  <c r="X72" i="3" s="1"/>
  <c r="AD8" i="3" s="1"/>
  <c r="AD72" i="3" s="1"/>
  <c r="AJ8" i="3" s="1"/>
  <c r="AJ72" i="3" s="1"/>
  <c r="AP8" i="3" s="1"/>
  <c r="AP72" i="3" s="1"/>
  <c r="AV8" i="3" s="1"/>
  <c r="AV72" i="3" s="1"/>
  <c r="BB8" i="3" s="1"/>
  <c r="BB72" i="3" s="1"/>
  <c r="BH8" i="3" s="1"/>
  <c r="BH72" i="3" s="1"/>
  <c r="BN8" i="3" s="1"/>
  <c r="BN72" i="3" s="1"/>
  <c r="BT8" i="3" s="1"/>
  <c r="BT72" i="3" s="1"/>
  <c r="BZ8" i="3" s="1"/>
  <c r="BZ72" i="3" s="1"/>
  <c r="CB70" i="3"/>
  <c r="H72" i="3"/>
  <c r="BY70" i="3"/>
  <c r="BY72" i="3" s="1"/>
  <c r="BW72" i="3"/>
  <c r="CB30" i="3"/>
  <c r="N72" i="3"/>
  <c r="S72" i="3"/>
  <c r="Y8" i="3" s="1"/>
  <c r="CB70" i="2"/>
  <c r="BW72" i="2"/>
  <c r="BY72" i="2" s="1"/>
  <c r="BY30" i="2"/>
  <c r="CB30" i="2"/>
  <c r="BZ72" i="2"/>
  <c r="CB72" i="2" s="1"/>
  <c r="N72" i="2"/>
  <c r="R8" i="2"/>
  <c r="AT48" i="1"/>
  <c r="AT46" i="1"/>
  <c r="AT16" i="1"/>
  <c r="T8" i="3" l="1"/>
  <c r="T72" i="3" s="1"/>
  <c r="Y72" i="3"/>
  <c r="AE8" i="3" s="1"/>
  <c r="Z8" i="3"/>
  <c r="Z72" i="3" s="1"/>
  <c r="R72" i="2"/>
  <c r="T8" i="2"/>
  <c r="AQ57" i="1"/>
  <c r="AQ58" i="1"/>
  <c r="AQ52" i="1"/>
  <c r="AQ48" i="1"/>
  <c r="AQ46" i="1"/>
  <c r="AQ38" i="1"/>
  <c r="AQ16" i="1"/>
  <c r="AP58" i="1"/>
  <c r="AP48" i="1"/>
  <c r="AP38" i="1"/>
  <c r="AP30" i="1"/>
  <c r="AE72" i="3" l="1"/>
  <c r="AK8" i="3" s="1"/>
  <c r="AF8" i="3"/>
  <c r="AF72" i="3" s="1"/>
  <c r="X8" i="2"/>
  <c r="T72" i="2"/>
  <c r="AN46" i="1"/>
  <c r="AN48" i="1"/>
  <c r="AN57" i="1"/>
  <c r="AN52" i="1"/>
  <c r="AM48" i="1"/>
  <c r="AK46" i="1"/>
  <c r="AK48" i="1"/>
  <c r="AK57" i="1"/>
  <c r="AK52" i="1"/>
  <c r="AK34" i="1"/>
  <c r="AK16" i="1"/>
  <c r="AK14" i="1"/>
  <c r="AK72" i="3" l="1"/>
  <c r="AQ8" i="3" s="1"/>
  <c r="AL8" i="3"/>
  <c r="AL72" i="3" s="1"/>
  <c r="X72" i="2"/>
  <c r="Z8" i="2"/>
  <c r="AJ58" i="1"/>
  <c r="AJ54" i="1"/>
  <c r="AJ48" i="1"/>
  <c r="AJ38" i="1"/>
  <c r="AJ30" i="1"/>
  <c r="AQ72" i="3" l="1"/>
  <c r="AW8" i="3" s="1"/>
  <c r="AR8" i="3"/>
  <c r="AR72" i="3" s="1"/>
  <c r="Z72" i="2"/>
  <c r="AD8" i="2"/>
  <c r="AG48" i="1"/>
  <c r="AH46" i="1"/>
  <c r="AH57" i="1"/>
  <c r="AH48" i="1"/>
  <c r="AH52" i="1"/>
  <c r="AH34" i="1"/>
  <c r="AH16" i="1"/>
  <c r="AH14" i="1"/>
  <c r="AE58" i="1"/>
  <c r="AE52" i="1"/>
  <c r="AE48" i="1"/>
  <c r="AE46" i="1"/>
  <c r="AE38" i="1"/>
  <c r="AE34" i="1"/>
  <c r="AE16" i="1"/>
  <c r="AE14" i="1"/>
  <c r="AD14" i="1"/>
  <c r="AD58" i="1"/>
  <c r="AD48" i="1"/>
  <c r="AD38" i="1"/>
  <c r="AD30" i="1"/>
  <c r="AW72" i="3" l="1"/>
  <c r="BC8" i="3" s="1"/>
  <c r="AX8" i="3"/>
  <c r="AX72" i="3" s="1"/>
  <c r="AD72" i="2"/>
  <c r="AF8" i="2"/>
  <c r="Y34" i="1"/>
  <c r="BC72" i="3" l="1"/>
  <c r="BI8" i="3" s="1"/>
  <c r="BD8" i="3"/>
  <c r="BD72" i="3" s="1"/>
  <c r="AJ8" i="2"/>
  <c r="AF72" i="2"/>
  <c r="AA48" i="1"/>
  <c r="AA34" i="1"/>
  <c r="AA20" i="1"/>
  <c r="AB46" i="1"/>
  <c r="AB52" i="1"/>
  <c r="AB48" i="1"/>
  <c r="AB34" i="1"/>
  <c r="AB16" i="1"/>
  <c r="AB14" i="1"/>
  <c r="Y46" i="1"/>
  <c r="Y57" i="1"/>
  <c r="Y52" i="1"/>
  <c r="Y48" i="1"/>
  <c r="Y16" i="1"/>
  <c r="Y14" i="1"/>
  <c r="X46" i="1"/>
  <c r="X58" i="1"/>
  <c r="X48" i="1"/>
  <c r="X38" i="1"/>
  <c r="X30" i="1"/>
  <c r="BI72" i="3" l="1"/>
  <c r="BO8" i="3" s="1"/>
  <c r="BJ8" i="3"/>
  <c r="BJ72" i="3" s="1"/>
  <c r="AJ72" i="2"/>
  <c r="AL8" i="2"/>
  <c r="V34" i="1"/>
  <c r="V46" i="1"/>
  <c r="V57" i="1"/>
  <c r="V48" i="1"/>
  <c r="V52" i="1"/>
  <c r="V14" i="1"/>
  <c r="V16" i="1"/>
  <c r="U14" i="1"/>
  <c r="U29" i="1"/>
  <c r="U69" i="1"/>
  <c r="U32" i="1"/>
  <c r="U48" i="1"/>
  <c r="U46" i="1"/>
  <c r="S34" i="1"/>
  <c r="S58" i="1"/>
  <c r="S48" i="1"/>
  <c r="S38" i="1"/>
  <c r="S16" i="1"/>
  <c r="S14" i="1"/>
  <c r="BO72" i="3" l="1"/>
  <c r="BU8" i="3" s="1"/>
  <c r="BP8" i="3"/>
  <c r="BP72" i="3" s="1"/>
  <c r="AL72" i="2"/>
  <c r="AP8" i="2"/>
  <c r="P77" i="1"/>
  <c r="R22" i="1"/>
  <c r="R32" i="1"/>
  <c r="R58" i="1"/>
  <c r="R48" i="1"/>
  <c r="R38" i="1"/>
  <c r="R30" i="1"/>
  <c r="BU72" i="3" l="1"/>
  <c r="CA8" i="3" s="1"/>
  <c r="BV8" i="3"/>
  <c r="BV72" i="3" s="1"/>
  <c r="AP72" i="2"/>
  <c r="AR8" i="2"/>
  <c r="P48" i="1"/>
  <c r="P34" i="1"/>
  <c r="P16" i="1"/>
  <c r="P14" i="1"/>
  <c r="O32" i="1"/>
  <c r="O48" i="1"/>
  <c r="O22" i="1"/>
  <c r="M58" i="1"/>
  <c r="L58" i="1"/>
  <c r="M48" i="1"/>
  <c r="L48" i="1"/>
  <c r="M38" i="1"/>
  <c r="L38" i="1"/>
  <c r="M34" i="1"/>
  <c r="M16" i="1"/>
  <c r="CA72" i="3" l="1"/>
  <c r="CB8" i="3"/>
  <c r="CB72" i="3" s="1"/>
  <c r="AR72" i="2"/>
  <c r="AV8" i="2"/>
  <c r="G57" i="1"/>
  <c r="G34" i="1"/>
  <c r="G16" i="1"/>
  <c r="AV72" i="2" l="1"/>
  <c r="AX8" i="2"/>
  <c r="F72" i="1"/>
  <c r="F58" i="1"/>
  <c r="F38" i="1"/>
  <c r="F30" i="1"/>
  <c r="BB8" i="2" l="1"/>
  <c r="AX72" i="2"/>
  <c r="BT30" i="1"/>
  <c r="BT58" i="1"/>
  <c r="BT38" i="1"/>
  <c r="BB72" i="2" l="1"/>
  <c r="BD8" i="2"/>
  <c r="BU58" i="1"/>
  <c r="BU38" i="1"/>
  <c r="BU30" i="1"/>
  <c r="BH8" i="2" l="1"/>
  <c r="BD72" i="2"/>
  <c r="CA69" i="1"/>
  <c r="BZ69" i="1"/>
  <c r="BX69" i="1"/>
  <c r="BW69" i="1"/>
  <c r="BV69" i="1"/>
  <c r="BS69" i="1"/>
  <c r="BP69" i="1"/>
  <c r="BM69" i="1"/>
  <c r="BJ69" i="1"/>
  <c r="BG69" i="1"/>
  <c r="BD69" i="1"/>
  <c r="BA69" i="1"/>
  <c r="AX69" i="1"/>
  <c r="AU69" i="1"/>
  <c r="AR69" i="1"/>
  <c r="AO69" i="1"/>
  <c r="AL69" i="1"/>
  <c r="AI69" i="1"/>
  <c r="AF69" i="1"/>
  <c r="AC69" i="1"/>
  <c r="Z69" i="1"/>
  <c r="W69" i="1"/>
  <c r="T69" i="1"/>
  <c r="Q69" i="1"/>
  <c r="K69" i="1"/>
  <c r="H69" i="1"/>
  <c r="E69" i="1"/>
  <c r="CA68" i="1"/>
  <c r="BZ68" i="1"/>
  <c r="BY68" i="1"/>
  <c r="BX68" i="1"/>
  <c r="BW68" i="1"/>
  <c r="BV68" i="1"/>
  <c r="BS68" i="1"/>
  <c r="BP68" i="1"/>
  <c r="BM68" i="1"/>
  <c r="BJ68" i="1"/>
  <c r="BG68" i="1"/>
  <c r="BD68" i="1"/>
  <c r="BA68" i="1"/>
  <c r="AX68" i="1"/>
  <c r="AU68" i="1"/>
  <c r="AR68" i="1"/>
  <c r="AO68" i="1"/>
  <c r="AL68" i="1"/>
  <c r="AI68" i="1"/>
  <c r="AF68" i="1"/>
  <c r="AC68" i="1"/>
  <c r="Z68" i="1"/>
  <c r="W68" i="1"/>
  <c r="T68" i="1"/>
  <c r="Q68" i="1"/>
  <c r="N68" i="1"/>
  <c r="K68" i="1"/>
  <c r="H68" i="1"/>
  <c r="E68" i="1"/>
  <c r="CA67" i="1"/>
  <c r="BZ67" i="1"/>
  <c r="BX67" i="1"/>
  <c r="BY67" i="1" s="1"/>
  <c r="BW67" i="1"/>
  <c r="BV67" i="1"/>
  <c r="BS67" i="1"/>
  <c r="BP67" i="1"/>
  <c r="BM67" i="1"/>
  <c r="BJ67" i="1"/>
  <c r="BG67" i="1"/>
  <c r="BD67" i="1"/>
  <c r="BA67" i="1"/>
  <c r="AX67" i="1"/>
  <c r="AU67" i="1"/>
  <c r="AR67" i="1"/>
  <c r="AO67" i="1"/>
  <c r="AL67" i="1"/>
  <c r="AI67" i="1"/>
  <c r="AF67" i="1"/>
  <c r="AC67" i="1"/>
  <c r="Z67" i="1"/>
  <c r="W67" i="1"/>
  <c r="T67" i="1"/>
  <c r="Q67" i="1"/>
  <c r="N67" i="1"/>
  <c r="K67" i="1"/>
  <c r="H67" i="1"/>
  <c r="E67" i="1"/>
  <c r="CA66" i="1"/>
  <c r="BZ66" i="1"/>
  <c r="BX66" i="1"/>
  <c r="BW66" i="1"/>
  <c r="BY66" i="1" s="1"/>
  <c r="BV66" i="1"/>
  <c r="BS66" i="1"/>
  <c r="BP66" i="1"/>
  <c r="BM66" i="1"/>
  <c r="BJ66" i="1"/>
  <c r="BG66" i="1"/>
  <c r="BD66" i="1"/>
  <c r="BA66" i="1"/>
  <c r="AX66" i="1"/>
  <c r="AU66" i="1"/>
  <c r="AR66" i="1"/>
  <c r="AO66" i="1"/>
  <c r="AL66" i="1"/>
  <c r="AI66" i="1"/>
  <c r="AF66" i="1"/>
  <c r="AC66" i="1"/>
  <c r="Z66" i="1"/>
  <c r="W66" i="1"/>
  <c r="T66" i="1"/>
  <c r="Q66" i="1"/>
  <c r="N66" i="1"/>
  <c r="K66" i="1"/>
  <c r="H66" i="1"/>
  <c r="E66" i="1"/>
  <c r="CA65" i="1"/>
  <c r="BZ65" i="1"/>
  <c r="BX65" i="1"/>
  <c r="BW65" i="1"/>
  <c r="BY65" i="1" s="1"/>
  <c r="BV65" i="1"/>
  <c r="BS65" i="1"/>
  <c r="BP65" i="1"/>
  <c r="BM65" i="1"/>
  <c r="BJ65" i="1"/>
  <c r="BG65" i="1"/>
  <c r="BD65" i="1"/>
  <c r="BA65" i="1"/>
  <c r="AX65" i="1"/>
  <c r="AU65" i="1"/>
  <c r="AR65" i="1"/>
  <c r="AO65" i="1"/>
  <c r="AL65" i="1"/>
  <c r="AI65" i="1"/>
  <c r="AF65" i="1"/>
  <c r="AC65" i="1"/>
  <c r="Z65" i="1"/>
  <c r="W65" i="1"/>
  <c r="T65" i="1"/>
  <c r="Q65" i="1"/>
  <c r="N65" i="1"/>
  <c r="K65" i="1"/>
  <c r="H65" i="1"/>
  <c r="E65" i="1"/>
  <c r="CA64" i="1"/>
  <c r="BZ64" i="1"/>
  <c r="BX64" i="1"/>
  <c r="BW64" i="1"/>
  <c r="BY64" i="1" s="1"/>
  <c r="BV64" i="1"/>
  <c r="BS64" i="1"/>
  <c r="BP64" i="1"/>
  <c r="BM64" i="1"/>
  <c r="BJ64" i="1"/>
  <c r="BG64" i="1"/>
  <c r="BD64" i="1"/>
  <c r="BA64" i="1"/>
  <c r="AX64" i="1"/>
  <c r="AU64" i="1"/>
  <c r="AR64" i="1"/>
  <c r="AO64" i="1"/>
  <c r="AL64" i="1"/>
  <c r="AI64" i="1"/>
  <c r="AF64" i="1"/>
  <c r="AC64" i="1"/>
  <c r="Z64" i="1"/>
  <c r="W64" i="1"/>
  <c r="T64" i="1"/>
  <c r="Q64" i="1"/>
  <c r="N64" i="1"/>
  <c r="K64" i="1"/>
  <c r="H64" i="1"/>
  <c r="E64" i="1"/>
  <c r="CA63" i="1"/>
  <c r="BZ63" i="1"/>
  <c r="BX63" i="1"/>
  <c r="BW63" i="1"/>
  <c r="BY63" i="1" s="1"/>
  <c r="BV63" i="1"/>
  <c r="BS63" i="1"/>
  <c r="BP63" i="1"/>
  <c r="BM63" i="1"/>
  <c r="BJ63" i="1"/>
  <c r="BG63" i="1"/>
  <c r="BD63" i="1"/>
  <c r="BA63" i="1"/>
  <c r="AX63" i="1"/>
  <c r="AU63" i="1"/>
  <c r="AR63" i="1"/>
  <c r="AO63" i="1"/>
  <c r="AL63" i="1"/>
  <c r="AI63" i="1"/>
  <c r="AF63" i="1"/>
  <c r="AC63" i="1"/>
  <c r="Z63" i="1"/>
  <c r="W63" i="1"/>
  <c r="T63" i="1"/>
  <c r="Q63" i="1"/>
  <c r="N63" i="1"/>
  <c r="K63" i="1"/>
  <c r="H63" i="1"/>
  <c r="E63" i="1"/>
  <c r="CA62" i="1"/>
  <c r="BZ62" i="1"/>
  <c r="BY62" i="1"/>
  <c r="BX62" i="1"/>
  <c r="BW62" i="1"/>
  <c r="BV62" i="1"/>
  <c r="BS62" i="1"/>
  <c r="BP62" i="1"/>
  <c r="BM62" i="1"/>
  <c r="BJ62" i="1"/>
  <c r="BG62" i="1"/>
  <c r="BD62" i="1"/>
  <c r="BA62" i="1"/>
  <c r="AX62" i="1"/>
  <c r="AU62" i="1"/>
  <c r="AR62" i="1"/>
  <c r="AO62" i="1"/>
  <c r="AL62" i="1"/>
  <c r="AI62" i="1"/>
  <c r="AF62" i="1"/>
  <c r="AC62" i="1"/>
  <c r="Z62" i="1"/>
  <c r="W62" i="1"/>
  <c r="T62" i="1"/>
  <c r="Q62" i="1"/>
  <c r="N62" i="1"/>
  <c r="K62" i="1"/>
  <c r="H62" i="1"/>
  <c r="E62" i="1"/>
  <c r="CA61" i="1"/>
  <c r="BZ61" i="1"/>
  <c r="BX61" i="1"/>
  <c r="BW61" i="1"/>
  <c r="BV61" i="1"/>
  <c r="BS61" i="1"/>
  <c r="BP61" i="1"/>
  <c r="BM61" i="1"/>
  <c r="BJ61" i="1"/>
  <c r="BG61" i="1"/>
  <c r="BD61" i="1"/>
  <c r="BA61" i="1"/>
  <c r="AX61" i="1"/>
  <c r="AU61" i="1"/>
  <c r="AR61" i="1"/>
  <c r="AO61" i="1"/>
  <c r="AL61" i="1"/>
  <c r="AI61" i="1"/>
  <c r="AF61" i="1"/>
  <c r="AC61" i="1"/>
  <c r="Z61" i="1"/>
  <c r="W61" i="1"/>
  <c r="T61" i="1"/>
  <c r="Q61" i="1"/>
  <c r="N61" i="1"/>
  <c r="K61" i="1"/>
  <c r="H61" i="1"/>
  <c r="E61" i="1"/>
  <c r="CA60" i="1"/>
  <c r="BZ60" i="1"/>
  <c r="BX60" i="1"/>
  <c r="BW60" i="1"/>
  <c r="BY60" i="1" s="1"/>
  <c r="BV60" i="1"/>
  <c r="BS60" i="1"/>
  <c r="BP60" i="1"/>
  <c r="BM60" i="1"/>
  <c r="BJ60" i="1"/>
  <c r="BG60" i="1"/>
  <c r="BD60" i="1"/>
  <c r="BA60" i="1"/>
  <c r="AX60" i="1"/>
  <c r="AU60" i="1"/>
  <c r="AR60" i="1"/>
  <c r="AO60" i="1"/>
  <c r="AL60" i="1"/>
  <c r="AI60" i="1"/>
  <c r="AF60" i="1"/>
  <c r="AC60" i="1"/>
  <c r="Z60" i="1"/>
  <c r="W60" i="1"/>
  <c r="T60" i="1"/>
  <c r="Q60" i="1"/>
  <c r="N60" i="1"/>
  <c r="K60" i="1"/>
  <c r="H60" i="1"/>
  <c r="E60" i="1"/>
  <c r="CA59" i="1"/>
  <c r="BZ59" i="1"/>
  <c r="BX59" i="1"/>
  <c r="BW59" i="1"/>
  <c r="BY59" i="1" s="1"/>
  <c r="BV59" i="1"/>
  <c r="BS59" i="1"/>
  <c r="BP59" i="1"/>
  <c r="BM59" i="1"/>
  <c r="BJ59" i="1"/>
  <c r="BG59" i="1"/>
  <c r="BD59" i="1"/>
  <c r="BA59" i="1"/>
  <c r="AX59" i="1"/>
  <c r="AU59" i="1"/>
  <c r="AR59" i="1"/>
  <c r="AO59" i="1"/>
  <c r="AL59" i="1"/>
  <c r="AI59" i="1"/>
  <c r="AF59" i="1"/>
  <c r="AC59" i="1"/>
  <c r="Z59" i="1"/>
  <c r="W59" i="1"/>
  <c r="T59" i="1"/>
  <c r="Q59" i="1"/>
  <c r="N59" i="1"/>
  <c r="K59" i="1"/>
  <c r="H59" i="1"/>
  <c r="E59" i="1"/>
  <c r="BV58" i="1"/>
  <c r="BS58" i="1"/>
  <c r="BR58" i="1"/>
  <c r="BQ58" i="1"/>
  <c r="BO58" i="1"/>
  <c r="BN58" i="1"/>
  <c r="BP58" i="1" s="1"/>
  <c r="BM58" i="1"/>
  <c r="BL58" i="1"/>
  <c r="BK58" i="1"/>
  <c r="BI58" i="1"/>
  <c r="BH58" i="1"/>
  <c r="BJ58" i="1" s="1"/>
  <c r="BG58" i="1"/>
  <c r="BF58" i="1"/>
  <c r="BE58" i="1"/>
  <c r="BC58" i="1"/>
  <c r="BD58" i="1"/>
  <c r="BA58" i="1"/>
  <c r="AZ58" i="1"/>
  <c r="AY58" i="1"/>
  <c r="AW58" i="1"/>
  <c r="AX58" i="1"/>
  <c r="AU58" i="1"/>
  <c r="AT58" i="1"/>
  <c r="AS58" i="1"/>
  <c r="AR58" i="1"/>
  <c r="AO58" i="1"/>
  <c r="AN58" i="1"/>
  <c r="AM58" i="1"/>
  <c r="AK58" i="1"/>
  <c r="AL58" i="1"/>
  <c r="AI58" i="1"/>
  <c r="AH58" i="1"/>
  <c r="AG58" i="1"/>
  <c r="AF58" i="1"/>
  <c r="AC58" i="1"/>
  <c r="AB58" i="1"/>
  <c r="AA58" i="1"/>
  <c r="Y58" i="1"/>
  <c r="Z58" i="1"/>
  <c r="W58" i="1"/>
  <c r="V58" i="1"/>
  <c r="U58" i="1"/>
  <c r="T58" i="1"/>
  <c r="Q58" i="1"/>
  <c r="P58" i="1"/>
  <c r="O58" i="1"/>
  <c r="N58" i="1"/>
  <c r="K58" i="1"/>
  <c r="G58" i="1"/>
  <c r="CA58" i="1" s="1"/>
  <c r="BZ58" i="1"/>
  <c r="E58" i="1"/>
  <c r="D58" i="1"/>
  <c r="BX58" i="1" s="1"/>
  <c r="C58" i="1"/>
  <c r="BW58" i="1" s="1"/>
  <c r="CA57" i="1"/>
  <c r="BZ57" i="1"/>
  <c r="BX57" i="1"/>
  <c r="BY57" i="1" s="1"/>
  <c r="BW57" i="1"/>
  <c r="BV57" i="1"/>
  <c r="BS57" i="1"/>
  <c r="BP57" i="1"/>
  <c r="BM57" i="1"/>
  <c r="BJ57" i="1"/>
  <c r="BG57" i="1"/>
  <c r="BD57" i="1"/>
  <c r="BA57" i="1"/>
  <c r="AX57" i="1"/>
  <c r="AU57" i="1"/>
  <c r="AR57" i="1"/>
  <c r="AO57" i="1"/>
  <c r="AL57" i="1"/>
  <c r="AI57" i="1"/>
  <c r="AF57" i="1"/>
  <c r="AC57" i="1"/>
  <c r="Z57" i="1"/>
  <c r="W57" i="1"/>
  <c r="T57" i="1"/>
  <c r="Q57" i="1"/>
  <c r="N57" i="1"/>
  <c r="K57" i="1"/>
  <c r="H57" i="1"/>
  <c r="E57" i="1"/>
  <c r="CA56" i="1"/>
  <c r="BZ56" i="1"/>
  <c r="BX56" i="1"/>
  <c r="BW56" i="1"/>
  <c r="BY56" i="1" s="1"/>
  <c r="BV56" i="1"/>
  <c r="BS56" i="1"/>
  <c r="BP56" i="1"/>
  <c r="BM56" i="1"/>
  <c r="BJ56" i="1"/>
  <c r="BG56" i="1"/>
  <c r="BD56" i="1"/>
  <c r="BA56" i="1"/>
  <c r="AX56" i="1"/>
  <c r="AU56" i="1"/>
  <c r="AR56" i="1"/>
  <c r="AO56" i="1"/>
  <c r="AL56" i="1"/>
  <c r="AI56" i="1"/>
  <c r="AF56" i="1"/>
  <c r="AC56" i="1"/>
  <c r="Z56" i="1"/>
  <c r="W56" i="1"/>
  <c r="T56" i="1"/>
  <c r="Q56" i="1"/>
  <c r="N56" i="1"/>
  <c r="K56" i="1"/>
  <c r="H56" i="1"/>
  <c r="E56" i="1"/>
  <c r="CA55" i="1"/>
  <c r="BZ55" i="1"/>
  <c r="BX55" i="1"/>
  <c r="BW55" i="1"/>
  <c r="BV55" i="1"/>
  <c r="BS55" i="1"/>
  <c r="BP55" i="1"/>
  <c r="BM55" i="1"/>
  <c r="BJ55" i="1"/>
  <c r="BG55" i="1"/>
  <c r="BD55" i="1"/>
  <c r="BA55" i="1"/>
  <c r="AX55" i="1"/>
  <c r="AU55" i="1"/>
  <c r="AR55" i="1"/>
  <c r="AO55" i="1"/>
  <c r="AL55" i="1"/>
  <c r="AI55" i="1"/>
  <c r="AF55" i="1"/>
  <c r="AC55" i="1"/>
  <c r="Z55" i="1"/>
  <c r="W55" i="1"/>
  <c r="T55" i="1"/>
  <c r="Q55" i="1"/>
  <c r="N55" i="1"/>
  <c r="K55" i="1"/>
  <c r="H55" i="1"/>
  <c r="E55" i="1"/>
  <c r="CA54" i="1"/>
  <c r="BZ54" i="1"/>
  <c r="BX54" i="1"/>
  <c r="BW54" i="1"/>
  <c r="BV54" i="1"/>
  <c r="BS54" i="1"/>
  <c r="BP54" i="1"/>
  <c r="BM54" i="1"/>
  <c r="BJ54" i="1"/>
  <c r="BG54" i="1"/>
  <c r="BD54" i="1"/>
  <c r="BA54" i="1"/>
  <c r="AX54" i="1"/>
  <c r="AU54" i="1"/>
  <c r="AR54" i="1"/>
  <c r="AO54" i="1"/>
  <c r="AL54" i="1"/>
  <c r="AI54" i="1"/>
  <c r="AF54" i="1"/>
  <c r="AC54" i="1"/>
  <c r="Z54" i="1"/>
  <c r="W54" i="1"/>
  <c r="T54" i="1"/>
  <c r="Q54" i="1"/>
  <c r="N54" i="1"/>
  <c r="K54" i="1"/>
  <c r="H54" i="1"/>
  <c r="E54" i="1"/>
  <c r="CA53" i="1"/>
  <c r="BZ53" i="1"/>
  <c r="BX53" i="1"/>
  <c r="BW53" i="1"/>
  <c r="BV53" i="1"/>
  <c r="BS53" i="1"/>
  <c r="BP53" i="1"/>
  <c r="BM53" i="1"/>
  <c r="BJ53" i="1"/>
  <c r="BG53" i="1"/>
  <c r="BD53" i="1"/>
  <c r="BA53" i="1"/>
  <c r="AX53" i="1"/>
  <c r="AU53" i="1"/>
  <c r="AR53" i="1"/>
  <c r="AO53" i="1"/>
  <c r="AL53" i="1"/>
  <c r="AI53" i="1"/>
  <c r="AF53" i="1"/>
  <c r="AC53" i="1"/>
  <c r="Z53" i="1"/>
  <c r="W53" i="1"/>
  <c r="T53" i="1"/>
  <c r="Q53" i="1"/>
  <c r="N53" i="1"/>
  <c r="K53" i="1"/>
  <c r="H53" i="1"/>
  <c r="E53" i="1"/>
  <c r="CA52" i="1"/>
  <c r="BZ52" i="1"/>
  <c r="BX52" i="1"/>
  <c r="BW52" i="1"/>
  <c r="BV52" i="1"/>
  <c r="BS52" i="1"/>
  <c r="BP52" i="1"/>
  <c r="BM52" i="1"/>
  <c r="BJ52" i="1"/>
  <c r="BG52" i="1"/>
  <c r="BD52" i="1"/>
  <c r="BA52" i="1"/>
  <c r="AX52" i="1"/>
  <c r="AU52" i="1"/>
  <c r="AR52" i="1"/>
  <c r="AO52" i="1"/>
  <c r="AL52" i="1"/>
  <c r="AI52" i="1"/>
  <c r="AF52" i="1"/>
  <c r="AC52" i="1"/>
  <c r="Z52" i="1"/>
  <c r="W52" i="1"/>
  <c r="T52" i="1"/>
  <c r="Q52" i="1"/>
  <c r="N52" i="1"/>
  <c r="K52" i="1"/>
  <c r="H52" i="1"/>
  <c r="E52" i="1"/>
  <c r="CA51" i="1"/>
  <c r="BZ51" i="1"/>
  <c r="BX51" i="1"/>
  <c r="BW51" i="1"/>
  <c r="BY51" i="1" s="1"/>
  <c r="BV51" i="1"/>
  <c r="BS51" i="1"/>
  <c r="BP51" i="1"/>
  <c r="BM51" i="1"/>
  <c r="BJ51" i="1"/>
  <c r="BG51" i="1"/>
  <c r="BD51" i="1"/>
  <c r="BA51" i="1"/>
  <c r="AX51" i="1"/>
  <c r="AU51" i="1"/>
  <c r="AR51" i="1"/>
  <c r="AO51" i="1"/>
  <c r="AL51" i="1"/>
  <c r="AI51" i="1"/>
  <c r="AF51" i="1"/>
  <c r="AC51" i="1"/>
  <c r="Z51" i="1"/>
  <c r="W51" i="1"/>
  <c r="T51" i="1"/>
  <c r="Q51" i="1"/>
  <c r="N51" i="1"/>
  <c r="K51" i="1"/>
  <c r="H51" i="1"/>
  <c r="E51" i="1"/>
  <c r="CA50" i="1"/>
  <c r="BZ50" i="1"/>
  <c r="BX50" i="1"/>
  <c r="BW50" i="1"/>
  <c r="BV50" i="1"/>
  <c r="BS50" i="1"/>
  <c r="BP50" i="1"/>
  <c r="BM50" i="1"/>
  <c r="BJ50" i="1"/>
  <c r="BG50" i="1"/>
  <c r="BD50" i="1"/>
  <c r="BA50" i="1"/>
  <c r="AX50" i="1"/>
  <c r="AU50" i="1"/>
  <c r="AR50" i="1"/>
  <c r="AO50" i="1"/>
  <c r="AL50" i="1"/>
  <c r="AI50" i="1"/>
  <c r="AF50" i="1"/>
  <c r="AC50" i="1"/>
  <c r="Z50" i="1"/>
  <c r="W50" i="1"/>
  <c r="T50" i="1"/>
  <c r="Q50" i="1"/>
  <c r="N50" i="1"/>
  <c r="K50" i="1"/>
  <c r="H50" i="1"/>
  <c r="E50" i="1"/>
  <c r="CA49" i="1"/>
  <c r="BZ49" i="1"/>
  <c r="BX49" i="1"/>
  <c r="BW49" i="1"/>
  <c r="BY49" i="1" s="1"/>
  <c r="BV49" i="1"/>
  <c r="BS49" i="1"/>
  <c r="BP49" i="1"/>
  <c r="BM49" i="1"/>
  <c r="BJ49" i="1"/>
  <c r="BG49" i="1"/>
  <c r="BD49" i="1"/>
  <c r="BA49" i="1"/>
  <c r="AX49" i="1"/>
  <c r="AU49" i="1"/>
  <c r="AR49" i="1"/>
  <c r="AO49" i="1"/>
  <c r="AL49" i="1"/>
  <c r="AI49" i="1"/>
  <c r="AF49" i="1"/>
  <c r="AC49" i="1"/>
  <c r="Z49" i="1"/>
  <c r="W49" i="1"/>
  <c r="T49" i="1"/>
  <c r="Q49" i="1"/>
  <c r="N49" i="1"/>
  <c r="K49" i="1"/>
  <c r="H49" i="1"/>
  <c r="E49" i="1"/>
  <c r="CA48" i="1"/>
  <c r="BX48" i="1"/>
  <c r="BW48" i="1"/>
  <c r="BV48" i="1"/>
  <c r="BS48" i="1"/>
  <c r="BZ48" i="1"/>
  <c r="BM48" i="1"/>
  <c r="BJ48" i="1"/>
  <c r="BG48" i="1"/>
  <c r="BD48" i="1"/>
  <c r="BA48" i="1"/>
  <c r="AX48" i="1"/>
  <c r="AU48" i="1"/>
  <c r="AR48" i="1"/>
  <c r="AO48" i="1"/>
  <c r="AL48" i="1"/>
  <c r="AI48" i="1"/>
  <c r="AF48" i="1"/>
  <c r="AC48" i="1"/>
  <c r="Z48" i="1"/>
  <c r="W48" i="1"/>
  <c r="T48" i="1"/>
  <c r="Q48" i="1"/>
  <c r="N48" i="1"/>
  <c r="K48" i="1"/>
  <c r="H48" i="1"/>
  <c r="E48" i="1"/>
  <c r="CA47" i="1"/>
  <c r="BZ47" i="1"/>
  <c r="BX47" i="1"/>
  <c r="BW47" i="1"/>
  <c r="BY47" i="1" s="1"/>
  <c r="BV47" i="1"/>
  <c r="BS47" i="1"/>
  <c r="BP47" i="1"/>
  <c r="BM47" i="1"/>
  <c r="BJ47" i="1"/>
  <c r="BG47" i="1"/>
  <c r="BD47" i="1"/>
  <c r="BA47" i="1"/>
  <c r="AX47" i="1"/>
  <c r="AU47" i="1"/>
  <c r="AR47" i="1"/>
  <c r="AO47" i="1"/>
  <c r="AL47" i="1"/>
  <c r="AI47" i="1"/>
  <c r="AF47" i="1"/>
  <c r="AC47" i="1"/>
  <c r="Z47" i="1"/>
  <c r="W47" i="1"/>
  <c r="T47" i="1"/>
  <c r="Q47" i="1"/>
  <c r="N47" i="1"/>
  <c r="K47" i="1"/>
  <c r="H47" i="1"/>
  <c r="E47" i="1"/>
  <c r="CA46" i="1"/>
  <c r="BZ46" i="1"/>
  <c r="BX46" i="1"/>
  <c r="BW46" i="1"/>
  <c r="BV46" i="1"/>
  <c r="BS46" i="1"/>
  <c r="BP46" i="1"/>
  <c r="BM46" i="1"/>
  <c r="BJ46" i="1"/>
  <c r="BG46" i="1"/>
  <c r="BD46" i="1"/>
  <c r="BA46" i="1"/>
  <c r="AX46" i="1"/>
  <c r="AU46" i="1"/>
  <c r="AR46" i="1"/>
  <c r="AO46" i="1"/>
  <c r="AL46" i="1"/>
  <c r="AI46" i="1"/>
  <c r="AF46" i="1"/>
  <c r="AC46" i="1"/>
  <c r="Z46" i="1"/>
  <c r="W46" i="1"/>
  <c r="T46" i="1"/>
  <c r="Q46" i="1"/>
  <c r="N46" i="1"/>
  <c r="K46" i="1"/>
  <c r="H46" i="1"/>
  <c r="E46" i="1"/>
  <c r="CA45" i="1"/>
  <c r="BZ45" i="1"/>
  <c r="BX45" i="1"/>
  <c r="BW45" i="1"/>
  <c r="BY45" i="1" s="1"/>
  <c r="BV45" i="1"/>
  <c r="BS45" i="1"/>
  <c r="BP45" i="1"/>
  <c r="BM45" i="1"/>
  <c r="BJ45" i="1"/>
  <c r="BG45" i="1"/>
  <c r="BD45" i="1"/>
  <c r="BA45" i="1"/>
  <c r="AX45" i="1"/>
  <c r="AU45" i="1"/>
  <c r="AR45" i="1"/>
  <c r="AO45" i="1"/>
  <c r="AL45" i="1"/>
  <c r="AI45" i="1"/>
  <c r="AF45" i="1"/>
  <c r="AC45" i="1"/>
  <c r="Z45" i="1"/>
  <c r="W45" i="1"/>
  <c r="T45" i="1"/>
  <c r="Q45" i="1"/>
  <c r="N45" i="1"/>
  <c r="K45" i="1"/>
  <c r="H45" i="1"/>
  <c r="E45" i="1"/>
  <c r="CA44" i="1"/>
  <c r="BZ44" i="1"/>
  <c r="BX44" i="1"/>
  <c r="BW44" i="1"/>
  <c r="BY44" i="1" s="1"/>
  <c r="BV44" i="1"/>
  <c r="BS44" i="1"/>
  <c r="BP44" i="1"/>
  <c r="BM44" i="1"/>
  <c r="BJ44" i="1"/>
  <c r="BG44" i="1"/>
  <c r="BD44" i="1"/>
  <c r="BA44" i="1"/>
  <c r="AX44" i="1"/>
  <c r="AU44" i="1"/>
  <c r="AR44" i="1"/>
  <c r="AO44" i="1"/>
  <c r="AL44" i="1"/>
  <c r="AI44" i="1"/>
  <c r="AF44" i="1"/>
  <c r="AC44" i="1"/>
  <c r="Z44" i="1"/>
  <c r="W44" i="1"/>
  <c r="T44" i="1"/>
  <c r="Q44" i="1"/>
  <c r="N44" i="1"/>
  <c r="K44" i="1"/>
  <c r="H44" i="1"/>
  <c r="E44" i="1"/>
  <c r="CA43" i="1"/>
  <c r="BZ43" i="1"/>
  <c r="BX43" i="1"/>
  <c r="BW43" i="1"/>
  <c r="BY43" i="1" s="1"/>
  <c r="BV43" i="1"/>
  <c r="BS43" i="1"/>
  <c r="BP43" i="1"/>
  <c r="BM43" i="1"/>
  <c r="BJ43" i="1"/>
  <c r="BG43" i="1"/>
  <c r="BD43" i="1"/>
  <c r="BA43" i="1"/>
  <c r="AX43" i="1"/>
  <c r="AU43" i="1"/>
  <c r="AR43" i="1"/>
  <c r="AO43" i="1"/>
  <c r="AL43" i="1"/>
  <c r="AI43" i="1"/>
  <c r="AF43" i="1"/>
  <c r="AC43" i="1"/>
  <c r="Z43" i="1"/>
  <c r="W43" i="1"/>
  <c r="T43" i="1"/>
  <c r="Q43" i="1"/>
  <c r="N43" i="1"/>
  <c r="K43" i="1"/>
  <c r="H43" i="1"/>
  <c r="E43" i="1"/>
  <c r="CA42" i="1"/>
  <c r="BZ42" i="1"/>
  <c r="BX42" i="1"/>
  <c r="BW42" i="1"/>
  <c r="BY42" i="1" s="1"/>
  <c r="BV42" i="1"/>
  <c r="BS42" i="1"/>
  <c r="BP42" i="1"/>
  <c r="BM42" i="1"/>
  <c r="BJ42" i="1"/>
  <c r="BG42" i="1"/>
  <c r="BD42" i="1"/>
  <c r="BA42" i="1"/>
  <c r="AX42" i="1"/>
  <c r="AU42" i="1"/>
  <c r="AR42" i="1"/>
  <c r="AO42" i="1"/>
  <c r="AL42" i="1"/>
  <c r="AI42" i="1"/>
  <c r="AF42" i="1"/>
  <c r="AC42" i="1"/>
  <c r="Z42" i="1"/>
  <c r="W42" i="1"/>
  <c r="T42" i="1"/>
  <c r="Q42" i="1"/>
  <c r="N42" i="1"/>
  <c r="K42" i="1"/>
  <c r="H42" i="1"/>
  <c r="E42" i="1"/>
  <c r="CA41" i="1"/>
  <c r="BZ41" i="1"/>
  <c r="BX41" i="1"/>
  <c r="BW41" i="1"/>
  <c r="BY41" i="1" s="1"/>
  <c r="BV41" i="1"/>
  <c r="BS41" i="1"/>
  <c r="BP41" i="1"/>
  <c r="BM41" i="1"/>
  <c r="BJ41" i="1"/>
  <c r="BG41" i="1"/>
  <c r="BD41" i="1"/>
  <c r="BA41" i="1"/>
  <c r="AX41" i="1"/>
  <c r="AU41" i="1"/>
  <c r="AR41" i="1"/>
  <c r="AO41" i="1"/>
  <c r="AL41" i="1"/>
  <c r="AI41" i="1"/>
  <c r="AF41" i="1"/>
  <c r="AC41" i="1"/>
  <c r="Z41" i="1"/>
  <c r="W41" i="1"/>
  <c r="T41" i="1"/>
  <c r="Q41" i="1"/>
  <c r="N41" i="1"/>
  <c r="K41" i="1"/>
  <c r="H41" i="1"/>
  <c r="E41" i="1"/>
  <c r="CA40" i="1"/>
  <c r="BZ40" i="1"/>
  <c r="BX40" i="1"/>
  <c r="BW40" i="1"/>
  <c r="BY40" i="1" s="1"/>
  <c r="BV40" i="1"/>
  <c r="BS40" i="1"/>
  <c r="BP40" i="1"/>
  <c r="BM40" i="1"/>
  <c r="BJ40" i="1"/>
  <c r="BG40" i="1"/>
  <c r="BD40" i="1"/>
  <c r="BA40" i="1"/>
  <c r="AX40" i="1"/>
  <c r="AU40" i="1"/>
  <c r="AR40" i="1"/>
  <c r="AO40" i="1"/>
  <c r="AL40" i="1"/>
  <c r="AI40" i="1"/>
  <c r="AF40" i="1"/>
  <c r="AC40" i="1"/>
  <c r="Z40" i="1"/>
  <c r="W40" i="1"/>
  <c r="T40" i="1"/>
  <c r="Q40" i="1"/>
  <c r="N40" i="1"/>
  <c r="K40" i="1"/>
  <c r="H40" i="1"/>
  <c r="E40" i="1"/>
  <c r="CA39" i="1"/>
  <c r="BZ39" i="1"/>
  <c r="BX39" i="1"/>
  <c r="BW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E39" i="1"/>
  <c r="BU70" i="1"/>
  <c r="BT70" i="1"/>
  <c r="BR38" i="1"/>
  <c r="BR70" i="1" s="1"/>
  <c r="BQ38" i="1"/>
  <c r="BS38" i="1" s="1"/>
  <c r="BO38" i="1"/>
  <c r="BO70" i="1" s="1"/>
  <c r="BN38" i="1"/>
  <c r="BN70" i="1" s="1"/>
  <c r="BL38" i="1"/>
  <c r="BL70" i="1" s="1"/>
  <c r="BK38" i="1"/>
  <c r="BM38" i="1" s="1"/>
  <c r="BI38" i="1"/>
  <c r="BI70" i="1" s="1"/>
  <c r="BH38" i="1"/>
  <c r="BH70" i="1" s="1"/>
  <c r="BF38" i="1"/>
  <c r="BF70" i="1" s="1"/>
  <c r="BE38" i="1"/>
  <c r="BC38" i="1"/>
  <c r="BC70" i="1" s="1"/>
  <c r="BB70" i="1"/>
  <c r="AZ38" i="1"/>
  <c r="AZ70" i="1" s="1"/>
  <c r="AY38" i="1"/>
  <c r="AW38" i="1"/>
  <c r="AW70" i="1" s="1"/>
  <c r="AV70" i="1"/>
  <c r="AT38" i="1"/>
  <c r="AT70" i="1" s="1"/>
  <c r="AS38" i="1"/>
  <c r="AQ70" i="1"/>
  <c r="AP70" i="1"/>
  <c r="AN38" i="1"/>
  <c r="AN70" i="1" s="1"/>
  <c r="AM38" i="1"/>
  <c r="AK38" i="1"/>
  <c r="AK70" i="1" s="1"/>
  <c r="AJ70" i="1"/>
  <c r="AH38" i="1"/>
  <c r="AH70" i="1" s="1"/>
  <c r="AG38" i="1"/>
  <c r="AE70" i="1"/>
  <c r="AD70" i="1"/>
  <c r="AF70" i="1" s="1"/>
  <c r="AB38" i="1"/>
  <c r="AB70" i="1" s="1"/>
  <c r="AA38" i="1"/>
  <c r="Y38" i="1"/>
  <c r="Y70" i="1" s="1"/>
  <c r="X70" i="1"/>
  <c r="V38" i="1"/>
  <c r="V70" i="1" s="1"/>
  <c r="U38" i="1"/>
  <c r="S70" i="1"/>
  <c r="R70" i="1"/>
  <c r="P38" i="1"/>
  <c r="P70" i="1" s="1"/>
  <c r="O38" i="1"/>
  <c r="M70" i="1"/>
  <c r="L70" i="1"/>
  <c r="N70" i="1" s="1"/>
  <c r="J70" i="1"/>
  <c r="G38" i="1"/>
  <c r="G70" i="1" s="1"/>
  <c r="H38" i="1"/>
  <c r="D38" i="1"/>
  <c r="D70" i="1" s="1"/>
  <c r="C38" i="1"/>
  <c r="CA37" i="1"/>
  <c r="BZ37" i="1"/>
  <c r="BX37" i="1"/>
  <c r="BW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E37" i="1"/>
  <c r="CA36" i="1"/>
  <c r="BZ36" i="1"/>
  <c r="BX36" i="1"/>
  <c r="BW36" i="1"/>
  <c r="BY36" i="1" s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E36" i="1"/>
  <c r="CA35" i="1"/>
  <c r="BZ35" i="1"/>
  <c r="BX35" i="1"/>
  <c r="BW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K35" i="1"/>
  <c r="H35" i="1"/>
  <c r="E35" i="1"/>
  <c r="CA34" i="1"/>
  <c r="BZ34" i="1"/>
  <c r="BX34" i="1"/>
  <c r="BW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E34" i="1"/>
  <c r="CA33" i="1"/>
  <c r="BZ33" i="1"/>
  <c r="CB33" i="1" s="1"/>
  <c r="BX33" i="1"/>
  <c r="BW33" i="1"/>
  <c r="BY33" i="1" s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E33" i="1"/>
  <c r="CA32" i="1"/>
  <c r="BZ32" i="1"/>
  <c r="BX32" i="1"/>
  <c r="BW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K32" i="1"/>
  <c r="H32" i="1"/>
  <c r="E32" i="1"/>
  <c r="BV30" i="1"/>
  <c r="BR30" i="1"/>
  <c r="BQ30" i="1"/>
  <c r="BO30" i="1"/>
  <c r="BN30" i="1"/>
  <c r="BL30" i="1"/>
  <c r="BK30" i="1"/>
  <c r="BM30" i="1" s="1"/>
  <c r="BI30" i="1"/>
  <c r="BH30" i="1"/>
  <c r="BF30" i="1"/>
  <c r="BE30" i="1"/>
  <c r="BC30" i="1"/>
  <c r="AZ30" i="1"/>
  <c r="AY30" i="1"/>
  <c r="AW30" i="1"/>
  <c r="AT30" i="1"/>
  <c r="AS30" i="1"/>
  <c r="AQ30" i="1"/>
  <c r="AR30" i="1" s="1"/>
  <c r="AN30" i="1"/>
  <c r="AM30" i="1"/>
  <c r="AK30" i="1"/>
  <c r="AL30" i="1" s="1"/>
  <c r="AH30" i="1"/>
  <c r="AG30" i="1"/>
  <c r="AE30" i="1"/>
  <c r="AF30" i="1"/>
  <c r="AB30" i="1"/>
  <c r="AA30" i="1"/>
  <c r="Y30" i="1"/>
  <c r="Z30" i="1" s="1"/>
  <c r="V30" i="1"/>
  <c r="U30" i="1"/>
  <c r="S30" i="1"/>
  <c r="T30" i="1"/>
  <c r="P30" i="1"/>
  <c r="O30" i="1"/>
  <c r="M30" i="1"/>
  <c r="L30" i="1"/>
  <c r="N30" i="1" s="1"/>
  <c r="J30" i="1"/>
  <c r="I30" i="1"/>
  <c r="G30" i="1"/>
  <c r="E30" i="1"/>
  <c r="D30" i="1"/>
  <c r="D72" i="1" s="1"/>
  <c r="C30" i="1"/>
  <c r="CA29" i="1"/>
  <c r="BZ29" i="1"/>
  <c r="BX29" i="1"/>
  <c r="BW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E29" i="1"/>
  <c r="CA28" i="1"/>
  <c r="BZ28" i="1"/>
  <c r="BX28" i="1"/>
  <c r="BW28" i="1"/>
  <c r="BY28" i="1" s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E28" i="1"/>
  <c r="CA27" i="1"/>
  <c r="BZ27" i="1"/>
  <c r="BX27" i="1"/>
  <c r="BW27" i="1"/>
  <c r="BY27" i="1" s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E27" i="1"/>
  <c r="CA26" i="1"/>
  <c r="BZ26" i="1"/>
  <c r="BX26" i="1"/>
  <c r="BW26" i="1"/>
  <c r="BY26" i="1" s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E26" i="1"/>
  <c r="CA25" i="1"/>
  <c r="BZ25" i="1"/>
  <c r="CB25" i="1" s="1"/>
  <c r="BX25" i="1"/>
  <c r="BW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E25" i="1"/>
  <c r="CA24" i="1"/>
  <c r="BZ24" i="1"/>
  <c r="BX24" i="1"/>
  <c r="BW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E24" i="1"/>
  <c r="CA23" i="1"/>
  <c r="BZ23" i="1"/>
  <c r="BX23" i="1"/>
  <c r="BW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E23" i="1"/>
  <c r="CA22" i="1"/>
  <c r="BZ22" i="1"/>
  <c r="BX22" i="1"/>
  <c r="BW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E22" i="1"/>
  <c r="CA21" i="1"/>
  <c r="BZ21" i="1"/>
  <c r="BX21" i="1"/>
  <c r="BW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E21" i="1"/>
  <c r="CA20" i="1"/>
  <c r="BZ20" i="1"/>
  <c r="BX20" i="1"/>
  <c r="BW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E20" i="1"/>
  <c r="CA19" i="1"/>
  <c r="BZ19" i="1"/>
  <c r="BX19" i="1"/>
  <c r="BW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E19" i="1"/>
  <c r="CA18" i="1"/>
  <c r="BZ18" i="1"/>
  <c r="BX18" i="1"/>
  <c r="BW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E18" i="1"/>
  <c r="CA17" i="1"/>
  <c r="BZ17" i="1"/>
  <c r="BX17" i="1"/>
  <c r="BW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E17" i="1"/>
  <c r="CA16" i="1"/>
  <c r="BZ16" i="1"/>
  <c r="BX16" i="1"/>
  <c r="BW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E16" i="1"/>
  <c r="CA15" i="1"/>
  <c r="BZ15" i="1"/>
  <c r="BX15" i="1"/>
  <c r="BW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E15" i="1"/>
  <c r="CA14" i="1"/>
  <c r="BZ14" i="1"/>
  <c r="BX14" i="1"/>
  <c r="BW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E14" i="1"/>
  <c r="CA13" i="1"/>
  <c r="BZ13" i="1"/>
  <c r="CB13" i="1" s="1"/>
  <c r="BX13" i="1"/>
  <c r="BW13" i="1"/>
  <c r="BY13" i="1" s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E13" i="1"/>
  <c r="CA12" i="1"/>
  <c r="BZ12" i="1"/>
  <c r="BX12" i="1"/>
  <c r="BW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E12" i="1"/>
  <c r="CA8" i="1"/>
  <c r="BZ8" i="1"/>
  <c r="CB8" i="1" s="1"/>
  <c r="BY8" i="1"/>
  <c r="BS8" i="1"/>
  <c r="BM8" i="1"/>
  <c r="BG8" i="1"/>
  <c r="BA8" i="1"/>
  <c r="AU8" i="1"/>
  <c r="AO8" i="1"/>
  <c r="AI8" i="1"/>
  <c r="AC8" i="1"/>
  <c r="W8" i="1"/>
  <c r="Q8" i="1"/>
  <c r="K8" i="1"/>
  <c r="H8" i="1"/>
  <c r="E8" i="1"/>
  <c r="BF72" i="1" l="1"/>
  <c r="BG30" i="1"/>
  <c r="BY61" i="1"/>
  <c r="BA30" i="1"/>
  <c r="BH72" i="2"/>
  <c r="BJ8" i="2"/>
  <c r="AU30" i="1"/>
  <c r="AR70" i="1"/>
  <c r="CB60" i="1"/>
  <c r="AN72" i="1"/>
  <c r="AO30" i="1"/>
  <c r="AL70" i="1"/>
  <c r="BY53" i="1"/>
  <c r="BY54" i="1"/>
  <c r="AI30" i="1"/>
  <c r="BY29" i="1"/>
  <c r="CB36" i="1"/>
  <c r="CB54" i="1"/>
  <c r="CB59" i="1"/>
  <c r="AC30" i="1"/>
  <c r="V72" i="1"/>
  <c r="W30" i="1"/>
  <c r="CB65" i="1"/>
  <c r="T70" i="1"/>
  <c r="CB66" i="1"/>
  <c r="BY50" i="1"/>
  <c r="Q30" i="1"/>
  <c r="BY32" i="1"/>
  <c r="BY37" i="1"/>
  <c r="BY34" i="1"/>
  <c r="BY39" i="1"/>
  <c r="BY35" i="1"/>
  <c r="BY55" i="1"/>
  <c r="BY58" i="1"/>
  <c r="CB62" i="1"/>
  <c r="CB68" i="1"/>
  <c r="CB40" i="1"/>
  <c r="CB43" i="1"/>
  <c r="CB64" i="1"/>
  <c r="BY21" i="1"/>
  <c r="BY15" i="1"/>
  <c r="BY17" i="1"/>
  <c r="BY19" i="1"/>
  <c r="BY22" i="1"/>
  <c r="BY18" i="1"/>
  <c r="BY20" i="1"/>
  <c r="BY24" i="1"/>
  <c r="BY23" i="1"/>
  <c r="BY14" i="1"/>
  <c r="BY25" i="1"/>
  <c r="CB17" i="1"/>
  <c r="CB15" i="1"/>
  <c r="BY46" i="1"/>
  <c r="K30" i="1"/>
  <c r="BY69" i="1"/>
  <c r="BY48" i="1"/>
  <c r="CB26" i="1"/>
  <c r="CB18" i="1"/>
  <c r="CB29" i="1"/>
  <c r="CB21" i="1"/>
  <c r="CB24" i="1"/>
  <c r="BP70" i="1"/>
  <c r="CB22" i="1"/>
  <c r="CB14" i="1"/>
  <c r="CB16" i="1"/>
  <c r="CB46" i="1"/>
  <c r="CB20" i="1"/>
  <c r="CB28" i="1"/>
  <c r="CB41" i="1"/>
  <c r="CB44" i="1"/>
  <c r="CB47" i="1"/>
  <c r="BZ30" i="1"/>
  <c r="CB19" i="1"/>
  <c r="CB23" i="1"/>
  <c r="CB27" i="1"/>
  <c r="CB32" i="1"/>
  <c r="CB39" i="1"/>
  <c r="CB42" i="1"/>
  <c r="CB45" i="1"/>
  <c r="CB69" i="1"/>
  <c r="CB34" i="1"/>
  <c r="CB37" i="1"/>
  <c r="BV70" i="1"/>
  <c r="CB56" i="1"/>
  <c r="CB67" i="1"/>
  <c r="CB51" i="1"/>
  <c r="CB55" i="1"/>
  <c r="CB49" i="1"/>
  <c r="CB53" i="1"/>
  <c r="CB35" i="1"/>
  <c r="CB63" i="1"/>
  <c r="BY52" i="1"/>
  <c r="BR72" i="1"/>
  <c r="BS30" i="1"/>
  <c r="BP30" i="1"/>
  <c r="CB61" i="1"/>
  <c r="CB52" i="1"/>
  <c r="BJ70" i="1"/>
  <c r="BJ30" i="1"/>
  <c r="BD30" i="1"/>
  <c r="BD70" i="1"/>
  <c r="CB48" i="1"/>
  <c r="AX70" i="1"/>
  <c r="CB57" i="1"/>
  <c r="CB50" i="1"/>
  <c r="AX30" i="1"/>
  <c r="CA30" i="1"/>
  <c r="BW38" i="1"/>
  <c r="E38" i="1"/>
  <c r="C70" i="1"/>
  <c r="E70" i="1" s="1"/>
  <c r="W38" i="1"/>
  <c r="U70" i="1"/>
  <c r="W70" i="1" s="1"/>
  <c r="AO38" i="1"/>
  <c r="AM70" i="1"/>
  <c r="AO70" i="1" s="1"/>
  <c r="BG38" i="1"/>
  <c r="BE70" i="1"/>
  <c r="BG70" i="1" s="1"/>
  <c r="BX30" i="1"/>
  <c r="J72" i="1"/>
  <c r="AB72" i="1"/>
  <c r="AT72" i="1"/>
  <c r="BL72" i="1"/>
  <c r="BW70" i="1"/>
  <c r="BX70" i="1"/>
  <c r="Q38" i="1"/>
  <c r="O70" i="1"/>
  <c r="Q70" i="1" s="1"/>
  <c r="Z70" i="1"/>
  <c r="AI38" i="1"/>
  <c r="AG70" i="1"/>
  <c r="AI70" i="1" s="1"/>
  <c r="BA38" i="1"/>
  <c r="AY70" i="1"/>
  <c r="BA70" i="1" s="1"/>
  <c r="BW30" i="1"/>
  <c r="BY12" i="1"/>
  <c r="BY16" i="1"/>
  <c r="CB58" i="1"/>
  <c r="K38" i="1"/>
  <c r="I70" i="1"/>
  <c r="K70" i="1" s="1"/>
  <c r="AC38" i="1"/>
  <c r="AA70" i="1"/>
  <c r="AC70" i="1" s="1"/>
  <c r="AU38" i="1"/>
  <c r="AS70" i="1"/>
  <c r="AU70" i="1" s="1"/>
  <c r="G72" i="1"/>
  <c r="M8" i="1" s="1"/>
  <c r="M72" i="1" s="1"/>
  <c r="S8" i="1" s="1"/>
  <c r="S72" i="1" s="1"/>
  <c r="Y8" i="1" s="1"/>
  <c r="Y72" i="1" s="1"/>
  <c r="AE8" i="1" s="1"/>
  <c r="AE72" i="1" s="1"/>
  <c r="AK8" i="1" s="1"/>
  <c r="AK72" i="1" s="1"/>
  <c r="AQ8" i="1" s="1"/>
  <c r="AQ72" i="1" s="1"/>
  <c r="AW8" i="1" s="1"/>
  <c r="AW72" i="1" s="1"/>
  <c r="BC8" i="1" s="1"/>
  <c r="BC72" i="1" s="1"/>
  <c r="BI8" i="1" s="1"/>
  <c r="BI72" i="1" s="1"/>
  <c r="BO8" i="1" s="1"/>
  <c r="BO72" i="1" s="1"/>
  <c r="BU8" i="1" s="1"/>
  <c r="BU72" i="1" s="1"/>
  <c r="P72" i="1"/>
  <c r="AH72" i="1"/>
  <c r="AZ72" i="1"/>
  <c r="BX38" i="1"/>
  <c r="H58" i="1"/>
  <c r="BK70" i="1"/>
  <c r="BM70" i="1" s="1"/>
  <c r="BQ70" i="1"/>
  <c r="BS70" i="1" s="1"/>
  <c r="AY72" i="1"/>
  <c r="BK72" i="1"/>
  <c r="BM72" i="1" s="1"/>
  <c r="BQ72" i="1"/>
  <c r="BZ38" i="1"/>
  <c r="BZ70" i="1" s="1"/>
  <c r="CA38" i="1"/>
  <c r="CA70" i="1" s="1"/>
  <c r="F70" i="1"/>
  <c r="H70" i="1" s="1"/>
  <c r="CB12" i="1"/>
  <c r="N38" i="1"/>
  <c r="T38" i="1"/>
  <c r="Z38" i="1"/>
  <c r="AF38" i="1"/>
  <c r="AL38" i="1"/>
  <c r="AR38" i="1"/>
  <c r="AX38" i="1"/>
  <c r="BD38" i="1"/>
  <c r="BJ38" i="1"/>
  <c r="BP38" i="1"/>
  <c r="BV38" i="1"/>
  <c r="BP48" i="1"/>
  <c r="BE72" i="1" l="1"/>
  <c r="BG72" i="1" s="1"/>
  <c r="BJ72" i="2"/>
  <c r="BN8" i="2"/>
  <c r="AS72" i="1"/>
  <c r="AU72" i="1" s="1"/>
  <c r="AG72" i="1"/>
  <c r="AI72" i="1" s="1"/>
  <c r="AA72" i="1"/>
  <c r="AC72" i="1" s="1"/>
  <c r="U72" i="1"/>
  <c r="W72" i="1" s="1"/>
  <c r="I72" i="1"/>
  <c r="K72" i="1" s="1"/>
  <c r="CC21" i="1"/>
  <c r="BZ72" i="1"/>
  <c r="CB30" i="1"/>
  <c r="BS72" i="1"/>
  <c r="CA72" i="1"/>
  <c r="H72" i="1"/>
  <c r="L8" i="1"/>
  <c r="CB38" i="1"/>
  <c r="AM72" i="1"/>
  <c r="AO72" i="1" s="1"/>
  <c r="C72" i="1"/>
  <c r="E72" i="1" s="1"/>
  <c r="BY70" i="1"/>
  <c r="BX72" i="1"/>
  <c r="BY30" i="1"/>
  <c r="BW72" i="1"/>
  <c r="BA72" i="1"/>
  <c r="O72" i="1"/>
  <c r="Q72" i="1" s="1"/>
  <c r="CB70" i="1"/>
  <c r="BY38" i="1"/>
  <c r="BN72" i="2" l="1"/>
  <c r="BP8" i="2"/>
  <c r="CB72" i="1"/>
  <c r="BY72" i="1"/>
  <c r="L72" i="1"/>
  <c r="N8" i="1"/>
  <c r="BP72" i="2" l="1"/>
  <c r="BT8" i="2"/>
  <c r="R8" i="1"/>
  <c r="N72" i="1"/>
  <c r="BT72" i="2" l="1"/>
  <c r="BV72" i="2" s="1"/>
  <c r="BV8" i="2"/>
  <c r="R72" i="1"/>
  <c r="T8" i="1"/>
  <c r="X8" i="1" l="1"/>
  <c r="T72" i="1"/>
  <c r="Z8" i="1" l="1"/>
  <c r="X72" i="1"/>
  <c r="Z72" i="1" l="1"/>
  <c r="AD8" i="1"/>
  <c r="AD72" i="1" l="1"/>
  <c r="AF8" i="1"/>
  <c r="AJ8" i="1" l="1"/>
  <c r="AF72" i="1"/>
  <c r="AJ72" i="1" l="1"/>
  <c r="AL8" i="1"/>
  <c r="AL72" i="1" l="1"/>
  <c r="AP8" i="1"/>
  <c r="AR8" i="1" l="1"/>
  <c r="AP72" i="1"/>
  <c r="AR72" i="1" l="1"/>
  <c r="AV8" i="1"/>
  <c r="AV72" i="1" l="1"/>
  <c r="AX8" i="1"/>
  <c r="BB8" i="1" l="1"/>
  <c r="AX72" i="1"/>
  <c r="BB72" i="1" l="1"/>
  <c r="BD8" i="1"/>
  <c r="BH8" i="1" l="1"/>
  <c r="BD72" i="1"/>
  <c r="BJ8" i="1" l="1"/>
  <c r="BH72" i="1"/>
  <c r="BJ72" i="1" l="1"/>
  <c r="BN8" i="1"/>
  <c r="BN72" i="1" l="1"/>
  <c r="BP8" i="1"/>
  <c r="BT8" i="1" l="1"/>
  <c r="BP72" i="1"/>
  <c r="BT72" i="1" l="1"/>
  <c r="BV72" i="1" s="1"/>
  <c r="BV8" i="1"/>
</calcChain>
</file>

<file path=xl/comments1.xml><?xml version="1.0" encoding="utf-8"?>
<comments xmlns="http://schemas.openxmlformats.org/spreadsheetml/2006/main">
  <authors>
    <author>User</author>
  </authors>
  <commentList>
    <comment ref="G14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2810 - продаж профіля</t>
        </r>
      </text>
    </comment>
    <comment ref="G16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200000 - монтаж СЕС (АС)
націнка по проєктам:
5650 - гірлянди (Зміїнець)
500 - гірлянди (Конякіна)
1410 - треки (Грушевського)
21840 - гірлянди (Соборності)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ВДГ</t>
        </r>
      </text>
    </comment>
    <comment ref="O22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1,5 млн. - ПЕС
560 тис. - ВДГ</t>
        </r>
      </text>
    </comment>
    <comment ref="R22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1,5 млн. - ПЕС
560 тис. - ВДГ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ВДГ</t>
        </r>
      </text>
    </comment>
    <comment ref="AP22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231,1 тис. - ТІГ
10 тис. - ВДГ</t>
        </r>
      </text>
    </comment>
    <comment ref="AW24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Арго-Р</t>
        </r>
      </text>
    </comment>
    <comment ref="R26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грантові кошти</t>
        </r>
      </text>
    </comment>
    <comment ref="AD26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лікарняні</t>
        </r>
      </text>
    </comment>
    <comment ref="AV29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з/п Будник</t>
        </r>
      </text>
    </comment>
    <comment ref="AD46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23656 - інструменти (далекоміри, драбини)</t>
        </r>
      </text>
    </comment>
    <comment ref="BB46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це за грантові кошти
18051,50 - коригування серпня</t>
        </r>
      </text>
    </comment>
    <comment ref="F48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1200 - навчання
1500 - Юр. рішення
1210 - доставка товару</t>
        </r>
      </text>
    </comment>
    <comment ref="G48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10000 - виготовлення кріплень на СЕС Грушевського (Білозір)</t>
        </r>
      </text>
    </comment>
    <comment ref="AD48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8915,15 - доставка товарів
1500 - юр. послуги</t>
        </r>
      </text>
    </comment>
    <comment ref="AD50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реклама в СМ</t>
        </r>
      </text>
    </comment>
    <comment ref="AD52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жалюзі в офіс</t>
        </r>
      </text>
    </comment>
    <comment ref="G55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385 - візитівки</t>
        </r>
      </text>
    </comment>
    <comment ref="G57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8000 - відрядження Польща
1211 - страховка
5452 - проживання
2734 - пальне</t>
        </r>
      </text>
    </comment>
    <comment ref="X61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350 тис. ВДГ
200 тис. ПЕС</t>
        </r>
      </text>
    </comment>
    <comment ref="AD61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ПЕС</t>
        </r>
      </text>
    </comment>
    <comment ref="AQ63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Арго-Р</t>
        </r>
      </text>
    </comment>
    <comment ref="AW63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500 - Адреналін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O22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1,5 млн. - ПЕС
560 тис. - ВДГ</t>
        </r>
      </text>
    </comment>
  </commentList>
</comments>
</file>

<file path=xl/sharedStrings.xml><?xml version="1.0" encoding="utf-8"?>
<sst xmlns="http://schemas.openxmlformats.org/spreadsheetml/2006/main" count="619" uniqueCount="101">
  <si>
    <t>"ЗАТВЕРДЖУЮ"</t>
  </si>
  <si>
    <t>Генеральний директор</t>
  </si>
  <si>
    <t>ТзОВ "Волвест Груп"</t>
  </si>
  <si>
    <t>. ______________</t>
  </si>
  <si>
    <t>Звіт про рух грошових коштів (КЕШ-ФЛО), грн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</si>
  <si>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</si>
  <si>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</si>
  <si>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</si>
  <si>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</si>
  <si>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</si>
  <si>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</si>
  <si>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</si>
  <si>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</si>
  <si>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</si>
  <si>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</si>
  <si>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</si>
  <si>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</si>
  <si>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Разом 2014</t>
  </si>
  <si>
    <t>Залишок на початок</t>
  </si>
  <si>
    <t>План</t>
  </si>
  <si>
    <t>Факт</t>
  </si>
  <si>
    <t>Код</t>
  </si>
  <si>
    <t>Стаття</t>
  </si>
  <si>
    <t>Банк + каса</t>
  </si>
  <si>
    <t>@</t>
  </si>
  <si>
    <t>Разом</t>
  </si>
  <si>
    <t>Надходження</t>
  </si>
  <si>
    <t>Дохід від реалізації продукції</t>
  </si>
  <si>
    <t>в т.ч. внутрішньогрупові доходи від реалізації продукції</t>
  </si>
  <si>
    <t>Дохід від реалізації товарів</t>
  </si>
  <si>
    <t>в т.ч. внутрішньогрупові доходи від реалізації товарів</t>
  </si>
  <si>
    <t>Дохід від реалізації послуг</t>
  </si>
  <si>
    <t>в т.ч. внутрішньогрупові доходи від реалізації послуг</t>
  </si>
  <si>
    <t>Дохід від оренди</t>
  </si>
  <si>
    <t>в т.ч. внутрішньогруповий дохід від оренди</t>
  </si>
  <si>
    <t>Інший дохід</t>
  </si>
  <si>
    <t>Отримання кредитів та позик</t>
  </si>
  <si>
    <t>Отримання фінансових позик</t>
  </si>
  <si>
    <t>в т.ч. внутрішньогрупове отримання фінансових позик</t>
  </si>
  <si>
    <t>Повернення фінансових позик</t>
  </si>
  <si>
    <t>в т.ч. внутрішньогрупове повернення фінансових позик</t>
  </si>
  <si>
    <t>Інші фінасові доходи (по ЦП, депозитах, дивідендах, внески)</t>
  </si>
  <si>
    <t>Реалізація необоротних активів</t>
  </si>
  <si>
    <t>Доходи від фінансових інвестицій</t>
  </si>
  <si>
    <t>Переміщення - прихід</t>
  </si>
  <si>
    <t>Всього</t>
  </si>
  <si>
    <t>Видатки</t>
  </si>
  <si>
    <t>Закупка товарів (сировини)</t>
  </si>
  <si>
    <t>в т.ч. внутрішньогрупова закупка товарів (сировини)</t>
  </si>
  <si>
    <t>Зарплата</t>
  </si>
  <si>
    <t>Податки по заробітній платі (утримання+нарахув.)</t>
  </si>
  <si>
    <t>Оренда</t>
  </si>
  <si>
    <t>в т.ч. внутрішньогрупова оренда</t>
  </si>
  <si>
    <t>Відсотки по кредитах банків</t>
  </si>
  <si>
    <t>124.1</t>
  </si>
  <si>
    <t>в т.ч. відсотки РФБА іпотечні</t>
  </si>
  <si>
    <t>124.2</t>
  </si>
  <si>
    <t>в т.ч. відсотки РФБА інший (кредитна лінія, овердрафт, авто)</t>
  </si>
  <si>
    <t>124.3</t>
  </si>
  <si>
    <t>в т.ч. відсотки інших банків іпотечні</t>
  </si>
  <si>
    <t>124.4</t>
  </si>
  <si>
    <t>в т.ч. відсотки інших банків (кредитна лінія, овердрафт, авто)</t>
  </si>
  <si>
    <t>Відсотки по кредитах внутрішніх</t>
  </si>
  <si>
    <t>Відсотки по кредитах венчурного фонду</t>
  </si>
  <si>
    <t>Енергоресурси та комунальні послуги</t>
  </si>
  <si>
    <t>Придбання ТМЦ (МШП, з/ч,  буд.матеріали, інш.)</t>
  </si>
  <si>
    <t>в т.ч. внутрішньогрупове придбання ТМЦ (МШП, з/ч,  буд.матеріали, інш.)</t>
  </si>
  <si>
    <t>Послуги сторонніх організацій</t>
  </si>
  <si>
    <t>в т.ч. внутрішньогрупові послуги сторонніх організацій</t>
  </si>
  <si>
    <t>Маркетинг та реклама</t>
  </si>
  <si>
    <t>в т.ч. внутрішньогруповий маркетинг та реклама</t>
  </si>
  <si>
    <t>Утримання автотранспорту (ПММ, ТО, з/ч, страхування, інш.)</t>
  </si>
  <si>
    <t>Ремонт та утримання ОЗ</t>
  </si>
  <si>
    <t>Банківські послуги</t>
  </si>
  <si>
    <t xml:space="preserve">Поточні офісні витрати (зв'язок, ІТ, періодика, інш) </t>
  </si>
  <si>
    <t>Податки і збори</t>
  </si>
  <si>
    <t>Інші операційні витрати</t>
  </si>
  <si>
    <t>Повернення кредитів та позик</t>
  </si>
  <si>
    <t>221.1</t>
  </si>
  <si>
    <t>в т.ч. повернення кредитів РФБА</t>
  </si>
  <si>
    <t>221.2</t>
  </si>
  <si>
    <t>в т.ч. повернення кредитів інших банків</t>
  </si>
  <si>
    <t>в т.ч. внутрішньогрупове повернення   фінансових позик</t>
  </si>
  <si>
    <t>Надання фінансових позик</t>
  </si>
  <si>
    <t>в т.ч. внутрішньогрупове надання фінансових позик</t>
  </si>
  <si>
    <t>Інші фінансові видатки (ЦП, дивіденди, дисконти, внески)</t>
  </si>
  <si>
    <t>Капітальні інвестиції</t>
  </si>
  <si>
    <t>в т.ч. внутрішньогрупові капітальні інвестиції</t>
  </si>
  <si>
    <t>Фінансові інвестиції</t>
  </si>
  <si>
    <t>Переміщення - розхід</t>
  </si>
  <si>
    <t>Залишок на кінець</t>
  </si>
  <si>
    <t>Разом 2025</t>
  </si>
  <si>
    <t>Корсак В.І. ______________</t>
  </si>
  <si>
    <t>Дохід від оренди зовнішнім контрагентам</t>
  </si>
  <si>
    <t>122.1</t>
  </si>
  <si>
    <t>124.5</t>
  </si>
  <si>
    <t>124.6</t>
  </si>
  <si>
    <t>221.3</t>
  </si>
  <si>
    <t>Кунаков О.П.</t>
  </si>
  <si>
    <t>Суми взаємозаліків:</t>
  </si>
  <si>
    <t>Солар Вест Буд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</si>
</sst>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р_._-;\-* #,##0.00_р_._-;_-* &quot;-&quot;??_р_._-;_-@_-"/>
    <numFmt numFmtId="165" formatCode="#,##0\ _г_р_н_."/>
    <numFmt numFmtId="166" formatCode="#,##0\ &quot;грн.&quot;"/>
    <numFmt numFmtId="167" formatCode="_-* #,##0.00_р_._-;\-* #,##0.00_р_._-;_-* \-??_р_._-;_-@_-"/>
    <numFmt numFmtId="168" formatCode="#,##0&quot; грн.&quot;"/>
  </numFmts>
  <fonts count="29" x14ac:knownFonts="1"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i/>
      <sz val="10"/>
      <name val="Arial Cyr"/>
      <family val="2"/>
      <charset val="204"/>
    </font>
    <font>
      <b/>
      <i/>
      <sz val="10"/>
      <name val="Times New Roman"/>
      <family val="1"/>
      <charset val="204"/>
    </font>
    <font>
      <b/>
      <sz val="10"/>
      <name val="Arial Cyr"/>
      <family val="2"/>
      <charset val="204"/>
    </font>
    <font>
      <b/>
      <sz val="14"/>
      <name val="Arial Cyr"/>
      <family val="2"/>
      <charset val="204"/>
    </font>
    <font>
      <b/>
      <u/>
      <sz val="10"/>
      <name val="Times New Roman"/>
      <family val="1"/>
      <charset val="204"/>
    </font>
    <font>
      <sz val="8"/>
      <name val="Arial"/>
      <family val="2"/>
      <charset val="204"/>
    </font>
    <font>
      <b/>
      <i/>
      <u/>
      <sz val="14"/>
      <color indexed="62"/>
      <name val="Times New Roman"/>
      <family val="1"/>
      <charset val="204"/>
    </font>
    <font>
      <sz val="6"/>
      <name val="Arial Cyr"/>
      <family val="2"/>
      <charset val="204"/>
    </font>
    <font>
      <b/>
      <i/>
      <sz val="10"/>
      <color indexed="12"/>
      <name val="Arial Cyr"/>
      <family val="2"/>
      <charset val="204"/>
    </font>
    <font>
      <b/>
      <i/>
      <sz val="12"/>
      <name val="Arial Cyr"/>
      <family val="2"/>
      <charset val="204"/>
    </font>
    <font>
      <b/>
      <sz val="11"/>
      <name val="Times New Roman"/>
      <family val="1"/>
      <charset val="204"/>
    </font>
    <font>
      <b/>
      <i/>
      <sz val="9"/>
      <name val="Arial Cyr"/>
      <family val="2"/>
      <charset val="204"/>
    </font>
    <font>
      <b/>
      <sz val="8"/>
      <name val="Times New Roman"/>
      <family val="1"/>
      <charset val="204"/>
    </font>
    <font>
      <b/>
      <i/>
      <sz val="12"/>
      <color indexed="12"/>
      <name val="Arial Cyr"/>
      <family val="2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i/>
      <sz val="9"/>
      <color rgb="FF0070C0"/>
      <name val="Times New Roman"/>
      <family val="1"/>
      <charset val="204"/>
    </font>
    <font>
      <sz val="8"/>
      <name val="Times New Roman"/>
      <family val="1"/>
      <charset val="204"/>
    </font>
    <font>
      <b/>
      <sz val="6"/>
      <name val="Arial Cyr"/>
      <family val="2"/>
      <charset val="204"/>
    </font>
    <font>
      <sz val="10"/>
      <color indexed="48"/>
      <name val="Arial Cyr"/>
      <family val="2"/>
      <charset val="204"/>
    </font>
    <font>
      <b/>
      <sz val="6"/>
      <color rgb="FF7030A0"/>
      <name val="Arial Cyr"/>
      <family val="2"/>
      <charset val="204"/>
    </font>
    <font>
      <b/>
      <sz val="10"/>
      <color rgb="FF7030A0"/>
      <name val="Arial Cyr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i/>
      <sz val="10"/>
      <color indexed="48"/>
      <name val="Times New Roman"/>
      <family val="1"/>
      <charset val="204"/>
    </font>
    <font>
      <i/>
      <sz val="9"/>
      <color indexed="48"/>
      <name val="Times New Roman"/>
      <family val="1"/>
      <charset val="204"/>
    </font>
    <font>
      <i/>
      <sz val="10"/>
      <color indexed="48"/>
      <name val="Arial Cyr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2"/>
        <bgColor indexed="27"/>
      </patternFill>
    </fill>
    <fill>
      <patternFill patternType="solid">
        <fgColor indexed="45"/>
        <bgColor indexed="29"/>
      </patternFill>
    </fill>
    <fill>
      <patternFill patternType="solid">
        <fgColor indexed="23"/>
        <bgColor indexed="55"/>
      </patternFill>
    </fill>
    <fill>
      <patternFill patternType="solid">
        <fgColor indexed="9"/>
        <bgColor indexed="26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/>
    <xf numFmtId="0" fontId="7" fillId="0" borderId="0">
      <alignment horizontal="left"/>
    </xf>
    <xf numFmtId="0" fontId="1" fillId="0" borderId="0"/>
    <xf numFmtId="0" fontId="1" fillId="0" borderId="0"/>
    <xf numFmtId="0" fontId="1" fillId="0" borderId="0"/>
  </cellStyleXfs>
  <cellXfs count="197">
    <xf numFmtId="0" fontId="0" fillId="0" borderId="0" xfId="0"/>
    <xf numFmtId="0" fontId="2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right"/>
    </xf>
    <xf numFmtId="164" fontId="0" fillId="0" borderId="0" xfId="0" applyNumberFormat="1" applyAlignment="1" applyProtection="1"/>
    <xf numFmtId="0" fontId="2" fillId="0" borderId="0" xfId="0" applyFont="1" applyAlignment="1" applyProtection="1">
      <alignment horizontal="right"/>
    </xf>
    <xf numFmtId="0" fontId="0" fillId="0" borderId="0" xfId="0" applyProtection="1"/>
    <xf numFmtId="164" fontId="0" fillId="0" borderId="0" xfId="0" applyNumberFormat="1" applyAlignment="1" applyProtection="1">
      <alignment wrapText="1"/>
    </xf>
    <xf numFmtId="0" fontId="2" fillId="0" borderId="0" xfId="0" applyFont="1" applyBorder="1" applyAlignment="1" applyProtection="1">
      <alignment horizontal="left"/>
    </xf>
    <xf numFmtId="0" fontId="4" fillId="0" borderId="0" xfId="0" applyFont="1" applyBorder="1" applyAlignment="1" applyProtection="1"/>
    <xf numFmtId="0" fontId="5" fillId="0" borderId="0" xfId="0" applyFont="1" applyBorder="1" applyAlignment="1" applyProtection="1"/>
    <xf numFmtId="165" fontId="0" fillId="0" borderId="0" xfId="0" applyNumberFormat="1" applyProtection="1"/>
    <xf numFmtId="3" fontId="0" fillId="0" borderId="0" xfId="0" applyNumberFormat="1" applyProtection="1"/>
    <xf numFmtId="0" fontId="2" fillId="0" borderId="0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164" fontId="2" fillId="0" borderId="0" xfId="0" applyNumberFormat="1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0" fontId="2" fillId="0" borderId="0" xfId="0" applyFont="1" applyBorder="1" applyAlignment="1" applyProtection="1">
      <alignment horizontal="center"/>
    </xf>
    <xf numFmtId="0" fontId="8" fillId="0" borderId="0" xfId="1" applyFont="1" applyFill="1" applyAlignment="1" applyProtection="1">
      <alignment horizontal="center" vertical="center" wrapText="1"/>
    </xf>
    <xf numFmtId="0" fontId="9" fillId="0" borderId="0" xfId="0" applyFont="1" applyBorder="1" applyProtection="1"/>
    <xf numFmtId="0" fontId="10" fillId="0" borderId="0" xfId="0" applyFont="1" applyBorder="1" applyAlignment="1" applyProtection="1">
      <alignment horizontal="right" wrapText="1"/>
    </xf>
    <xf numFmtId="165" fontId="0" fillId="0" borderId="4" xfId="0" applyNumberFormat="1" applyBorder="1" applyAlignment="1" applyProtection="1">
      <alignment horizontal="center"/>
      <protection locked="0"/>
    </xf>
    <xf numFmtId="165" fontId="0" fillId="0" borderId="4" xfId="0" applyNumberFormat="1" applyBorder="1" applyAlignment="1" applyProtection="1">
      <alignment horizontal="center"/>
    </xf>
    <xf numFmtId="0" fontId="9" fillId="6" borderId="5" xfId="0" applyFont="1" applyFill="1" applyBorder="1" applyProtection="1"/>
    <xf numFmtId="0" fontId="11" fillId="6" borderId="0" xfId="0" applyFont="1" applyFill="1" applyBorder="1" applyAlignment="1" applyProtection="1">
      <alignment horizontal="center" wrapText="1"/>
    </xf>
    <xf numFmtId="0" fontId="13" fillId="6" borderId="4" xfId="0" applyFont="1" applyFill="1" applyBorder="1" applyAlignment="1" applyProtection="1">
      <alignment horizontal="center" wrapText="1"/>
    </xf>
    <xf numFmtId="0" fontId="2" fillId="6" borderId="4" xfId="0" applyFont="1" applyFill="1" applyBorder="1" applyAlignment="1" applyProtection="1">
      <alignment horizontal="center" wrapText="1"/>
    </xf>
    <xf numFmtId="3" fontId="14" fillId="6" borderId="4" xfId="2" applyNumberFormat="1" applyFont="1" applyFill="1" applyBorder="1" applyAlignment="1" applyProtection="1">
      <alignment horizontal="center" vertical="center" wrapText="1"/>
    </xf>
    <xf numFmtId="165" fontId="14" fillId="6" borderId="4" xfId="2" applyNumberFormat="1" applyFont="1" applyFill="1" applyBorder="1" applyAlignment="1" applyProtection="1">
      <alignment horizontal="center" vertical="center" wrapText="1"/>
    </xf>
    <xf numFmtId="0" fontId="15" fillId="7" borderId="4" xfId="0" applyFont="1" applyFill="1" applyBorder="1" applyAlignment="1" applyProtection="1"/>
    <xf numFmtId="3" fontId="0" fillId="7" borderId="4" xfId="0" applyNumberFormat="1" applyFill="1" applyBorder="1" applyProtection="1"/>
    <xf numFmtId="3" fontId="0" fillId="7" borderId="4" xfId="0" applyNumberFormat="1" applyFill="1" applyBorder="1" applyAlignment="1" applyProtection="1">
      <alignment horizontal="center"/>
    </xf>
    <xf numFmtId="165" fontId="0" fillId="7" borderId="4" xfId="0" applyNumberFormat="1" applyFill="1" applyBorder="1" applyProtection="1"/>
    <xf numFmtId="0" fontId="16" fillId="0" borderId="4" xfId="1" applyFont="1" applyFill="1" applyBorder="1" applyAlignment="1" applyProtection="1">
      <alignment vertical="center"/>
    </xf>
    <xf numFmtId="0" fontId="17" fillId="0" borderId="4" xfId="1" applyFont="1" applyFill="1" applyBorder="1" applyAlignment="1" applyProtection="1">
      <alignment vertical="center" wrapText="1"/>
    </xf>
    <xf numFmtId="3" fontId="0" fillId="0" borderId="4" xfId="0" applyNumberFormat="1" applyFill="1" applyBorder="1" applyAlignment="1" applyProtection="1">
      <alignment horizontal="center"/>
      <protection locked="0"/>
    </xf>
    <xf numFmtId="3" fontId="0" fillId="0" borderId="4" xfId="0" applyNumberFormat="1" applyFill="1" applyBorder="1" applyAlignment="1" applyProtection="1">
      <alignment horizontal="center"/>
    </xf>
    <xf numFmtId="3" fontId="0" fillId="8" borderId="4" xfId="0" applyNumberFormat="1" applyFill="1" applyBorder="1" applyAlignment="1" applyProtection="1">
      <alignment horizontal="center"/>
      <protection locked="0"/>
    </xf>
    <xf numFmtId="0" fontId="18" fillId="0" borderId="4" xfId="1" applyFont="1" applyFill="1" applyBorder="1" applyAlignment="1" applyProtection="1">
      <alignment horizontal="right" vertical="center"/>
    </xf>
    <xf numFmtId="0" fontId="18" fillId="0" borderId="4" xfId="0" applyFont="1" applyBorder="1" applyAlignment="1" applyProtection="1">
      <alignment horizontal="right" wrapText="1"/>
    </xf>
    <xf numFmtId="3" fontId="18" fillId="0" borderId="4" xfId="0" applyNumberFormat="1" applyFont="1" applyFill="1" applyBorder="1" applyAlignment="1" applyProtection="1">
      <alignment horizontal="right" wrapText="1"/>
      <protection locked="0"/>
    </xf>
    <xf numFmtId="3" fontId="18" fillId="0" borderId="4" xfId="0" applyNumberFormat="1" applyFont="1" applyFill="1" applyBorder="1" applyAlignment="1" applyProtection="1">
      <alignment horizontal="right" wrapText="1"/>
    </xf>
    <xf numFmtId="3" fontId="18" fillId="8" borderId="4" xfId="0" applyNumberFormat="1" applyFont="1" applyFill="1" applyBorder="1" applyAlignment="1" applyProtection="1">
      <alignment horizontal="right" wrapText="1"/>
      <protection locked="0"/>
    </xf>
    <xf numFmtId="3" fontId="18" fillId="0" borderId="4" xfId="0" applyNumberFormat="1" applyFont="1" applyFill="1" applyBorder="1" applyAlignment="1" applyProtection="1">
      <alignment horizontal="right"/>
    </xf>
    <xf numFmtId="0" fontId="18" fillId="0" borderId="0" xfId="0" applyFont="1" applyAlignment="1" applyProtection="1">
      <alignment horizontal="right"/>
      <protection locked="0"/>
    </xf>
    <xf numFmtId="3" fontId="17" fillId="0" borderId="4" xfId="1" applyNumberFormat="1" applyFont="1" applyFill="1" applyBorder="1" applyAlignment="1" applyProtection="1">
      <alignment horizontal="center" vertical="center" wrapText="1"/>
      <protection locked="0"/>
    </xf>
    <xf numFmtId="3" fontId="17" fillId="0" borderId="4" xfId="1" applyNumberFormat="1" applyFont="1" applyFill="1" applyBorder="1" applyAlignment="1" applyProtection="1">
      <alignment horizontal="center" vertical="center" wrapText="1"/>
    </xf>
    <xf numFmtId="3" fontId="17" fillId="8" borderId="4" xfId="1" applyNumberFormat="1" applyFont="1" applyFill="1" applyBorder="1" applyAlignment="1" applyProtection="1">
      <alignment horizontal="center" vertical="center" wrapText="1"/>
      <protection locked="0"/>
    </xf>
    <xf numFmtId="3" fontId="16" fillId="8" borderId="4" xfId="1" applyNumberFormat="1" applyFont="1" applyFill="1" applyBorder="1" applyAlignment="1" applyProtection="1">
      <alignment horizontal="center" vertical="center" wrapText="1"/>
      <protection locked="0"/>
    </xf>
    <xf numFmtId="0" fontId="16" fillId="0" borderId="4" xfId="1" applyFont="1" applyFill="1" applyBorder="1" applyAlignment="1" applyProtection="1">
      <alignment vertical="center" wrapText="1"/>
    </xf>
    <xf numFmtId="3" fontId="16" fillId="0" borderId="4" xfId="1" applyNumberFormat="1" applyFont="1" applyFill="1" applyBorder="1" applyAlignment="1" applyProtection="1">
      <alignment horizontal="center" vertical="center" wrapText="1"/>
      <protection locked="0"/>
    </xf>
    <xf numFmtId="3" fontId="19" fillId="0" borderId="4" xfId="1" applyNumberFormat="1" applyFont="1" applyFill="1" applyBorder="1" applyAlignment="1" applyProtection="1">
      <alignment horizontal="center" vertical="center" wrapText="1"/>
      <protection locked="0"/>
    </xf>
    <xf numFmtId="3" fontId="16" fillId="0" borderId="4" xfId="1" applyNumberFormat="1" applyFont="1" applyFill="1" applyBorder="1" applyAlignment="1" applyProtection="1">
      <alignment horizontal="center" vertical="center" wrapText="1"/>
    </xf>
    <xf numFmtId="0" fontId="20" fillId="0" borderId="4" xfId="0" applyFont="1" applyBorder="1" applyProtection="1"/>
    <xf numFmtId="0" fontId="4" fillId="0" borderId="4" xfId="0" applyFont="1" applyBorder="1" applyAlignment="1" applyProtection="1">
      <alignment wrapText="1"/>
    </xf>
    <xf numFmtId="3" fontId="4" fillId="0" borderId="4" xfId="0" applyNumberFormat="1" applyFont="1" applyBorder="1" applyAlignment="1" applyProtection="1">
      <alignment horizontal="center"/>
    </xf>
    <xf numFmtId="3" fontId="4" fillId="0" borderId="4" xfId="0" applyNumberFormat="1" applyFont="1" applyFill="1" applyBorder="1" applyAlignment="1" applyProtection="1">
      <alignment horizontal="center"/>
    </xf>
    <xf numFmtId="0" fontId="4" fillId="0" borderId="0" xfId="0" applyFont="1" applyProtection="1"/>
    <xf numFmtId="3" fontId="15" fillId="7" borderId="4" xfId="0" applyNumberFormat="1" applyFont="1" applyFill="1" applyBorder="1" applyAlignment="1" applyProtection="1"/>
    <xf numFmtId="3" fontId="18" fillId="0" borderId="4" xfId="0" applyNumberFormat="1" applyFont="1" applyBorder="1" applyAlignment="1" applyProtection="1">
      <alignment horizontal="right" wrapText="1"/>
      <protection locked="0"/>
    </xf>
    <xf numFmtId="3" fontId="18" fillId="0" borderId="4" xfId="0" applyNumberFormat="1" applyFont="1" applyBorder="1" applyAlignment="1" applyProtection="1">
      <alignment horizontal="right" wrapText="1"/>
    </xf>
    <xf numFmtId="0" fontId="16" fillId="0" borderId="4" xfId="1" applyFont="1" applyFill="1" applyBorder="1" applyAlignment="1" applyProtection="1">
      <alignment horizontal="right" vertical="center"/>
    </xf>
    <xf numFmtId="3" fontId="19" fillId="8" borderId="4" xfId="1" applyNumberFormat="1" applyFont="1" applyFill="1" applyBorder="1" applyAlignment="1" applyProtection="1">
      <alignment horizontal="center" vertical="center" wrapText="1"/>
      <protection locked="0"/>
    </xf>
    <xf numFmtId="3" fontId="18" fillId="0" borderId="4" xfId="3" applyNumberFormat="1" applyFont="1" applyBorder="1" applyAlignment="1" applyProtection="1">
      <alignment horizontal="right" wrapText="1"/>
      <protection locked="0"/>
    </xf>
    <xf numFmtId="0" fontId="17" fillId="9" borderId="4" xfId="1" applyFont="1" applyFill="1" applyBorder="1" applyAlignment="1" applyProtection="1">
      <alignment vertical="center" wrapText="1"/>
    </xf>
    <xf numFmtId="3" fontId="19" fillId="0" borderId="4" xfId="1" applyNumberFormat="1" applyFont="1" applyFill="1" applyBorder="1" applyAlignment="1" applyProtection="1">
      <alignment horizontal="center" vertical="center" wrapText="1"/>
    </xf>
    <xf numFmtId="0" fontId="18" fillId="0" borderId="4" xfId="1" applyFont="1" applyFill="1" applyBorder="1" applyAlignment="1" applyProtection="1">
      <alignment horizontal="right" vertical="center" wrapText="1"/>
    </xf>
    <xf numFmtId="3" fontId="18" fillId="9" borderId="4" xfId="1" applyNumberFormat="1" applyFont="1" applyFill="1" applyBorder="1" applyAlignment="1" applyProtection="1">
      <alignment horizontal="right" vertical="center" wrapText="1"/>
      <protection locked="0"/>
    </xf>
    <xf numFmtId="3" fontId="19" fillId="0" borderId="4" xfId="1" applyNumberFormat="1" applyFont="1" applyFill="1" applyBorder="1" applyAlignment="1" applyProtection="1">
      <alignment horizontal="center" vertical="center"/>
      <protection locked="0"/>
    </xf>
    <xf numFmtId="3" fontId="21" fillId="0" borderId="4" xfId="0" applyNumberFormat="1" applyFont="1" applyBorder="1" applyAlignment="1" applyProtection="1">
      <alignment horizontal="center" wrapText="1"/>
    </xf>
    <xf numFmtId="0" fontId="17" fillId="0" borderId="4" xfId="1" applyFont="1" applyFill="1" applyBorder="1" applyAlignment="1" applyProtection="1">
      <alignment horizontal="left" vertical="center"/>
    </xf>
    <xf numFmtId="3" fontId="19" fillId="9" borderId="4" xfId="1" applyNumberFormat="1" applyFont="1" applyFill="1" applyBorder="1" applyAlignment="1" applyProtection="1">
      <alignment horizontal="center" vertical="center" wrapText="1"/>
      <protection locked="0"/>
    </xf>
    <xf numFmtId="3" fontId="17" fillId="0" borderId="4" xfId="1" applyNumberFormat="1" applyFont="1" applyFill="1" applyBorder="1" applyAlignment="1" applyProtection="1">
      <alignment horizontal="center" vertical="center"/>
    </xf>
    <xf numFmtId="166" fontId="18" fillId="0" borderId="4" xfId="1" applyNumberFormat="1" applyFont="1" applyFill="1" applyBorder="1" applyAlignment="1" applyProtection="1">
      <alignment horizontal="right" vertical="center"/>
    </xf>
    <xf numFmtId="0" fontId="9" fillId="0" borderId="4" xfId="0" applyFont="1" applyBorder="1" applyAlignment="1" applyProtection="1"/>
    <xf numFmtId="3" fontId="9" fillId="0" borderId="4" xfId="0" applyNumberFormat="1" applyFont="1" applyBorder="1" applyAlignment="1" applyProtection="1">
      <alignment horizontal="center"/>
      <protection locked="0"/>
    </xf>
    <xf numFmtId="3" fontId="9" fillId="0" borderId="4" xfId="0" applyNumberFormat="1" applyFont="1" applyBorder="1" applyAlignment="1" applyProtection="1">
      <alignment horizontal="center"/>
    </xf>
    <xf numFmtId="0" fontId="22" fillId="7" borderId="4" xfId="0" applyFont="1" applyFill="1" applyBorder="1" applyProtection="1"/>
    <xf numFmtId="3" fontId="23" fillId="7" borderId="4" xfId="0" applyNumberFormat="1" applyFont="1" applyFill="1" applyBorder="1" applyAlignment="1" applyProtection="1">
      <alignment horizontal="center"/>
    </xf>
    <xf numFmtId="165" fontId="23" fillId="7" borderId="4" xfId="0" applyNumberFormat="1" applyFont="1" applyFill="1" applyBorder="1" applyAlignment="1" applyProtection="1">
      <alignment horizontal="center"/>
    </xf>
    <xf numFmtId="0" fontId="23" fillId="0" borderId="0" xfId="0" applyFont="1" applyProtection="1"/>
    <xf numFmtId="0" fontId="9" fillId="0" borderId="0" xfId="0" applyFont="1" applyProtection="1">
      <protection locked="0"/>
    </xf>
    <xf numFmtId="0" fontId="0" fillId="0" borderId="0" xfId="0" applyAlignment="1" applyProtection="1">
      <alignment wrapText="1"/>
      <protection locked="0"/>
    </xf>
    <xf numFmtId="0" fontId="16" fillId="0" borderId="4" xfId="4" applyFont="1" applyBorder="1" applyAlignment="1" applyProtection="1">
      <alignment horizontal="center"/>
      <protection locked="0"/>
    </xf>
    <xf numFmtId="3" fontId="18" fillId="8" borderId="4" xfId="3" applyNumberFormat="1" applyFont="1" applyFill="1" applyBorder="1" applyAlignment="1" applyProtection="1">
      <alignment horizontal="right" wrapText="1"/>
      <protection locked="0"/>
    </xf>
    <xf numFmtId="3" fontId="0" fillId="0" borderId="0" xfId="0" applyNumberFormat="1" applyProtection="1">
      <protection locked="0"/>
    </xf>
    <xf numFmtId="0" fontId="2" fillId="0" borderId="0" xfId="0" applyFont="1" applyAlignment="1">
      <alignment horizontal="left"/>
    </xf>
    <xf numFmtId="0" fontId="3" fillId="0" borderId="0" xfId="0" applyFont="1" applyAlignment="1" applyProtection="1">
      <alignment horizontal="right"/>
      <protection locked="0"/>
    </xf>
    <xf numFmtId="167" fontId="0" fillId="0" borderId="0" xfId="0" applyNumberFormat="1" applyAlignment="1"/>
    <xf numFmtId="0" fontId="2" fillId="0" borderId="0" xfId="0" applyFont="1" applyAlignment="1">
      <alignment horizontal="right"/>
    </xf>
    <xf numFmtId="167" fontId="0" fillId="0" borderId="0" xfId="0" applyNumberFormat="1" applyAlignment="1">
      <alignment wrapText="1"/>
    </xf>
    <xf numFmtId="0" fontId="2" fillId="0" borderId="0" xfId="0" applyFont="1" applyBorder="1" applyAlignment="1">
      <alignment horizontal="left"/>
    </xf>
    <xf numFmtId="0" fontId="4" fillId="0" borderId="0" xfId="0" applyFont="1" applyBorder="1" applyAlignment="1"/>
    <xf numFmtId="0" fontId="5" fillId="0" borderId="0" xfId="0" applyFont="1" applyBorder="1" applyAlignment="1"/>
    <xf numFmtId="167" fontId="2" fillId="0" borderId="0" xfId="0" applyNumberFormat="1" applyFont="1" applyBorder="1" applyAlignment="1" applyProtection="1">
      <alignment horizontal="center"/>
      <protection locked="0"/>
    </xf>
    <xf numFmtId="0" fontId="2" fillId="0" borderId="0" xfId="0" applyFont="1" applyBorder="1" applyAlignment="1">
      <alignment horizontal="center"/>
    </xf>
    <xf numFmtId="0" fontId="8" fillId="0" borderId="0" xfId="1" applyFont="1" applyFill="1" applyAlignment="1" applyProtection="1">
      <alignment horizontal="center" vertical="center" wrapText="1"/>
      <protection locked="0"/>
    </xf>
    <xf numFmtId="0" fontId="2" fillId="10" borderId="7" xfId="0" applyFont="1" applyFill="1" applyBorder="1" applyAlignment="1"/>
    <xf numFmtId="0" fontId="2" fillId="10" borderId="8" xfId="0" applyFont="1" applyFill="1" applyBorder="1" applyAlignment="1"/>
    <xf numFmtId="0" fontId="2" fillId="10" borderId="9" xfId="0" applyFont="1" applyFill="1" applyBorder="1" applyAlignment="1"/>
    <xf numFmtId="0" fontId="2" fillId="11" borderId="8" xfId="0" applyFont="1" applyFill="1" applyBorder="1" applyAlignment="1"/>
    <xf numFmtId="0" fontId="2" fillId="11" borderId="9" xfId="0" applyFont="1" applyFill="1" applyBorder="1" applyAlignment="1"/>
    <xf numFmtId="0" fontId="2" fillId="12" borderId="7" xfId="0" applyFont="1" applyFill="1" applyBorder="1" applyAlignment="1"/>
    <xf numFmtId="0" fontId="2" fillId="12" borderId="8" xfId="0" applyFont="1" applyFill="1" applyBorder="1" applyAlignment="1"/>
    <xf numFmtId="0" fontId="2" fillId="12" borderId="9" xfId="0" applyFont="1" applyFill="1" applyBorder="1" applyAlignment="1"/>
    <xf numFmtId="0" fontId="2" fillId="13" borderId="7" xfId="0" applyFont="1" applyFill="1" applyBorder="1" applyAlignment="1"/>
    <xf numFmtId="0" fontId="2" fillId="13" borderId="8" xfId="0" applyFont="1" applyFill="1" applyBorder="1" applyAlignment="1"/>
    <xf numFmtId="0" fontId="2" fillId="13" borderId="9" xfId="0" applyFont="1" applyFill="1" applyBorder="1" applyAlignment="1"/>
    <xf numFmtId="0" fontId="2" fillId="11" borderId="7" xfId="0" applyFont="1" applyFill="1" applyBorder="1" applyAlignment="1"/>
    <xf numFmtId="0" fontId="9" fillId="0" borderId="0" xfId="0" applyFont="1" applyBorder="1"/>
    <xf numFmtId="0" fontId="10" fillId="0" borderId="0" xfId="0" applyFont="1" applyBorder="1" applyAlignment="1">
      <alignment horizontal="right" wrapText="1"/>
    </xf>
    <xf numFmtId="165" fontId="0" fillId="0" borderId="10" xfId="0" applyNumberFormat="1" applyBorder="1" applyAlignment="1">
      <alignment horizontal="center"/>
    </xf>
    <xf numFmtId="0" fontId="9" fillId="14" borderId="11" xfId="0" applyFont="1" applyFill="1" applyBorder="1"/>
    <xf numFmtId="0" fontId="11" fillId="14" borderId="0" xfId="0" applyFont="1" applyFill="1" applyBorder="1" applyAlignment="1">
      <alignment horizontal="center" wrapText="1"/>
    </xf>
    <xf numFmtId="0" fontId="13" fillId="14" borderId="10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3" fontId="14" fillId="14" borderId="10" xfId="2" applyNumberFormat="1" applyFont="1" applyFill="1" applyBorder="1" applyAlignment="1" applyProtection="1">
      <alignment horizontal="center" vertical="center" wrapText="1"/>
    </xf>
    <xf numFmtId="165" fontId="14" fillId="14" borderId="10" xfId="2" applyNumberFormat="1" applyFont="1" applyFill="1" applyBorder="1" applyAlignment="1" applyProtection="1">
      <alignment horizontal="center" vertical="center" wrapText="1"/>
    </xf>
    <xf numFmtId="0" fontId="15" fillId="0" borderId="10" xfId="0" applyFont="1" applyBorder="1" applyAlignment="1"/>
    <xf numFmtId="3" fontId="0" fillId="0" borderId="10" xfId="0" applyNumberFormat="1" applyBorder="1"/>
    <xf numFmtId="165" fontId="0" fillId="0" borderId="10" xfId="0" applyNumberFormat="1" applyBorder="1"/>
    <xf numFmtId="0" fontId="16" fillId="0" borderId="10" xfId="1" applyFont="1" applyFill="1" applyBorder="1" applyAlignment="1" applyProtection="1">
      <alignment vertical="center"/>
      <protection locked="0"/>
    </xf>
    <xf numFmtId="0" fontId="17" fillId="0" borderId="10" xfId="1" applyFont="1" applyFill="1" applyBorder="1" applyAlignment="1" applyProtection="1">
      <alignment vertical="center" wrapText="1"/>
    </xf>
    <xf numFmtId="3" fontId="0" fillId="0" borderId="10" xfId="0" applyNumberFormat="1" applyFill="1" applyBorder="1" applyAlignment="1">
      <alignment horizontal="center"/>
    </xf>
    <xf numFmtId="165" fontId="21" fillId="0" borderId="10" xfId="0" applyNumberFormat="1" applyFont="1" applyFill="1" applyBorder="1" applyAlignment="1" applyProtection="1">
      <alignment horizontal="center" wrapText="1"/>
      <protection hidden="1"/>
    </xf>
    <xf numFmtId="0" fontId="21" fillId="0" borderId="10" xfId="0" applyFont="1" applyBorder="1" applyAlignment="1" applyProtection="1">
      <alignment wrapText="1"/>
      <protection hidden="1"/>
    </xf>
    <xf numFmtId="3" fontId="21" fillId="0" borderId="10" xfId="0" applyNumberFormat="1" applyFont="1" applyFill="1" applyBorder="1" applyAlignment="1" applyProtection="1">
      <alignment horizontal="center" wrapText="1"/>
      <protection hidden="1"/>
    </xf>
    <xf numFmtId="3" fontId="17" fillId="0" borderId="10" xfId="1" applyNumberFormat="1" applyFont="1" applyFill="1" applyBorder="1" applyAlignment="1" applyProtection="1">
      <alignment horizontal="center" vertical="center" wrapText="1"/>
    </xf>
    <xf numFmtId="165" fontId="17" fillId="0" borderId="10" xfId="1" applyNumberFormat="1" applyFont="1" applyFill="1" applyBorder="1" applyAlignment="1" applyProtection="1">
      <alignment horizontal="center" vertical="center" wrapText="1"/>
    </xf>
    <xf numFmtId="0" fontId="17" fillId="11" borderId="10" xfId="1" applyFont="1" applyFill="1" applyBorder="1" applyAlignment="1" applyProtection="1">
      <alignment vertical="center" wrapText="1"/>
    </xf>
    <xf numFmtId="0" fontId="16" fillId="0" borderId="10" xfId="1" applyFont="1" applyFill="1" applyBorder="1" applyAlignment="1" applyProtection="1">
      <alignment vertical="center" wrapText="1"/>
    </xf>
    <xf numFmtId="3" fontId="16" fillId="0" borderId="10" xfId="1" applyNumberFormat="1" applyFont="1" applyFill="1" applyBorder="1" applyAlignment="1" applyProtection="1">
      <alignment horizontal="center" vertical="center" wrapText="1"/>
    </xf>
    <xf numFmtId="165" fontId="16" fillId="0" borderId="10" xfId="1" applyNumberFormat="1" applyFont="1" applyFill="1" applyBorder="1" applyAlignment="1" applyProtection="1">
      <alignment horizontal="center" vertical="center" wrapText="1"/>
    </xf>
    <xf numFmtId="0" fontId="9" fillId="0" borderId="10" xfId="0" applyFont="1" applyBorder="1"/>
    <xf numFmtId="0" fontId="4" fillId="0" borderId="10" xfId="0" applyFont="1" applyBorder="1" applyAlignment="1">
      <alignment wrapText="1"/>
    </xf>
    <xf numFmtId="3" fontId="4" fillId="0" borderId="10" xfId="0" applyNumberFormat="1" applyFont="1" applyBorder="1" applyAlignment="1">
      <alignment horizontal="center"/>
    </xf>
    <xf numFmtId="3" fontId="15" fillId="0" borderId="10" xfId="0" applyNumberFormat="1" applyFont="1" applyBorder="1" applyAlignment="1"/>
    <xf numFmtId="165" fontId="15" fillId="0" borderId="10" xfId="0" applyNumberFormat="1" applyFont="1" applyBorder="1" applyAlignment="1"/>
    <xf numFmtId="0" fontId="21" fillId="0" borderId="10" xfId="0" applyFont="1" applyBorder="1" applyAlignment="1" applyProtection="1">
      <alignment horizontal="right" wrapText="1"/>
      <protection hidden="1"/>
    </xf>
    <xf numFmtId="3" fontId="21" fillId="0" borderId="10" xfId="0" applyNumberFormat="1" applyFont="1" applyBorder="1" applyAlignment="1" applyProtection="1">
      <alignment horizontal="center" wrapText="1"/>
      <protection hidden="1"/>
    </xf>
    <xf numFmtId="165" fontId="21" fillId="0" borderId="10" xfId="0" applyNumberFormat="1" applyFont="1" applyBorder="1" applyAlignment="1" applyProtection="1">
      <alignment horizontal="center" wrapText="1"/>
      <protection hidden="1"/>
    </xf>
    <xf numFmtId="0" fontId="16" fillId="11" borderId="10" xfId="1" applyFont="1" applyFill="1" applyBorder="1" applyAlignment="1" applyProtection="1">
      <alignment vertical="center" wrapText="1"/>
    </xf>
    <xf numFmtId="0" fontId="16" fillId="0" borderId="10" xfId="1" applyFont="1" applyFill="1" applyBorder="1" applyAlignment="1" applyProtection="1">
      <alignment horizontal="right" vertical="center"/>
      <protection locked="0"/>
    </xf>
    <xf numFmtId="0" fontId="17" fillId="15" borderId="10" xfId="1" applyFont="1" applyFill="1" applyBorder="1" applyAlignment="1" applyProtection="1">
      <alignment vertical="center" wrapText="1"/>
    </xf>
    <xf numFmtId="0" fontId="26" fillId="0" borderId="10" xfId="1" applyFont="1" applyFill="1" applyBorder="1" applyAlignment="1" applyProtection="1">
      <alignment vertical="center"/>
      <protection locked="0"/>
    </xf>
    <xf numFmtId="0" fontId="27" fillId="11" borderId="10" xfId="1" applyFont="1" applyFill="1" applyBorder="1" applyAlignment="1" applyProtection="1">
      <alignment vertical="center" wrapText="1"/>
    </xf>
    <xf numFmtId="165" fontId="17" fillId="15" borderId="10" xfId="1" applyNumberFormat="1" applyFont="1" applyFill="1" applyBorder="1" applyAlignment="1" applyProtection="1">
      <alignment horizontal="center" vertical="center" wrapText="1"/>
    </xf>
    <xf numFmtId="0" fontId="17" fillId="0" borderId="10" xfId="1" applyFont="1" applyFill="1" applyBorder="1" applyAlignment="1" applyProtection="1">
      <alignment horizontal="left" vertical="center"/>
    </xf>
    <xf numFmtId="3" fontId="17" fillId="0" borderId="10" xfId="1" applyNumberFormat="1" applyFont="1" applyFill="1" applyBorder="1" applyAlignment="1" applyProtection="1">
      <alignment horizontal="center" vertical="center"/>
    </xf>
    <xf numFmtId="168" fontId="26" fillId="0" borderId="10" xfId="1" applyNumberFormat="1" applyFont="1" applyFill="1" applyBorder="1" applyAlignment="1" applyProtection="1">
      <alignment vertical="center"/>
      <protection locked="0"/>
    </xf>
    <xf numFmtId="3" fontId="28" fillId="0" borderId="10" xfId="0" applyNumberFormat="1" applyFont="1" applyBorder="1" applyAlignment="1" applyProtection="1">
      <alignment horizontal="center" wrapText="1"/>
      <protection hidden="1"/>
    </xf>
    <xf numFmtId="165" fontId="27" fillId="15" borderId="10" xfId="1" applyNumberFormat="1" applyFont="1" applyFill="1" applyBorder="1" applyAlignment="1" applyProtection="1">
      <alignment horizontal="center" vertical="center" wrapText="1"/>
    </xf>
    <xf numFmtId="0" fontId="20" fillId="0" borderId="10" xfId="0" applyFont="1" applyBorder="1"/>
    <xf numFmtId="0" fontId="4" fillId="0" borderId="10" xfId="0" applyFont="1" applyBorder="1" applyAlignment="1" applyProtection="1">
      <alignment wrapText="1"/>
    </xf>
    <xf numFmtId="0" fontId="9" fillId="0" borderId="10" xfId="0" applyFont="1" applyBorder="1" applyAlignment="1"/>
    <xf numFmtId="3" fontId="9" fillId="0" borderId="10" xfId="0" applyNumberFormat="1" applyFont="1" applyBorder="1" applyAlignment="1">
      <alignment horizontal="center"/>
    </xf>
    <xf numFmtId="165" fontId="9" fillId="0" borderId="10" xfId="0" applyNumberFormat="1" applyFont="1" applyBorder="1" applyAlignment="1">
      <alignment horizontal="center"/>
    </xf>
    <xf numFmtId="0" fontId="10" fillId="0" borderId="10" xfId="0" applyFont="1" applyBorder="1" applyAlignment="1" applyProtection="1">
      <alignment horizontal="right" wrapText="1"/>
    </xf>
    <xf numFmtId="3" fontId="0" fillId="0" borderId="10" xfId="0" applyNumberFormat="1" applyBorder="1" applyAlignment="1">
      <alignment horizontal="center"/>
    </xf>
    <xf numFmtId="0" fontId="0" fillId="0" borderId="0" xfId="0" applyBorder="1" applyAlignment="1">
      <alignment wrapText="1"/>
    </xf>
    <xf numFmtId="3" fontId="0" fillId="0" borderId="0" xfId="0" applyNumberFormat="1" applyBorder="1" applyAlignment="1">
      <alignment wrapText="1"/>
    </xf>
    <xf numFmtId="165" fontId="0" fillId="0" borderId="0" xfId="0" applyNumberFormat="1" applyBorder="1" applyAlignment="1">
      <alignment wrapText="1"/>
    </xf>
    <xf numFmtId="3" fontId="16" fillId="0" borderId="0" xfId="4" applyNumberFormat="1" applyFont="1" applyProtection="1">
      <protection locked="0"/>
    </xf>
    <xf numFmtId="0" fontId="16" fillId="0" borderId="0" xfId="4" applyFont="1" applyAlignment="1" applyProtection="1">
      <alignment horizontal="right" wrapText="1"/>
      <protection locked="0"/>
    </xf>
    <xf numFmtId="0" fontId="16" fillId="0" borderId="0" xfId="4" applyFont="1" applyProtection="1">
      <protection locked="0"/>
    </xf>
    <xf numFmtId="9" fontId="16" fillId="0" borderId="0" xfId="4" applyNumberFormat="1" applyFont="1" applyProtection="1">
      <protection locked="0"/>
    </xf>
    <xf numFmtId="0" fontId="0" fillId="0" borderId="0" xfId="4" applyFont="1" applyFill="1" applyProtection="1">
      <protection locked="0"/>
    </xf>
    <xf numFmtId="0" fontId="9" fillId="0" borderId="0" xfId="0" applyFont="1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165" fontId="12" fillId="14" borderId="12" xfId="2" applyNumberFormat="1" applyFont="1" applyFill="1" applyBorder="1" applyAlignment="1" applyProtection="1">
      <alignment horizontal="center" vertical="center" wrapText="1"/>
    </xf>
    <xf numFmtId="0" fontId="2" fillId="10" borderId="7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2" borderId="9" xfId="0" applyFont="1" applyFill="1" applyBorder="1" applyAlignment="1">
      <alignment horizontal="center"/>
    </xf>
    <xf numFmtId="0" fontId="2" fillId="13" borderId="7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9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11" borderId="9" xfId="0" applyFont="1" applyFill="1" applyBorder="1" applyAlignment="1">
      <alignment horizontal="center"/>
    </xf>
    <xf numFmtId="165" fontId="12" fillId="6" borderId="6" xfId="2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/>
    </xf>
    <xf numFmtId="0" fontId="2" fillId="3" borderId="2" xfId="0" applyFont="1" applyFill="1" applyBorder="1" applyAlignment="1" applyProtection="1">
      <alignment horizontal="center"/>
    </xf>
    <xf numFmtId="0" fontId="2" fillId="3" borderId="3" xfId="0" applyFont="1" applyFill="1" applyBorder="1" applyAlignment="1" applyProtection="1">
      <alignment horizontal="center"/>
    </xf>
    <xf numFmtId="0" fontId="2" fillId="4" borderId="1" xfId="0" applyFont="1" applyFill="1" applyBorder="1" applyAlignment="1" applyProtection="1">
      <alignment horizontal="center"/>
    </xf>
    <xf numFmtId="0" fontId="2" fillId="4" borderId="2" xfId="0" applyFont="1" applyFill="1" applyBorder="1" applyAlignment="1" applyProtection="1">
      <alignment horizontal="center"/>
    </xf>
    <xf numFmtId="0" fontId="2" fillId="4" borderId="3" xfId="0" applyFont="1" applyFill="1" applyBorder="1" applyAlignment="1" applyProtection="1">
      <alignment horizontal="center"/>
    </xf>
    <xf numFmtId="0" fontId="2" fillId="5" borderId="1" xfId="0" applyFont="1" applyFill="1" applyBorder="1" applyAlignment="1" applyProtection="1">
      <alignment horizontal="center"/>
    </xf>
    <xf numFmtId="0" fontId="2" fillId="5" borderId="2" xfId="0" applyFont="1" applyFill="1" applyBorder="1" applyAlignment="1" applyProtection="1">
      <alignment horizontal="center"/>
    </xf>
    <xf numFmtId="0" fontId="2" fillId="5" borderId="3" xfId="0" applyFont="1" applyFill="1" applyBorder="1" applyAlignment="1" applyProtection="1">
      <alignment horizontal="center"/>
    </xf>
  </cellXfs>
  <cellStyles count="5">
    <cellStyle name="Обычный" xfId="0" builtinId="0"/>
    <cellStyle name="Обычный_Otchet_формы_кварт_Dovidnyk Dohodiv_Vytrat_Дистрибуц_я Зведений 2" xfId="2"/>
    <cellStyle name="Обычный_PLAN_FACT_FIRMA_2010" xfId="3"/>
    <cellStyle name="Обычный_Додаток_1_2_3" xfId="4"/>
    <cellStyle name="Обычный_Лист1" xfId="1"/>
  </cellStyles>
  <dxfs count="314"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60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60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46"/>
      </font>
    </dxf>
    <dxf>
      <font>
        <b val="0"/>
        <condense val="0"/>
        <extend val="0"/>
        <color indexed="60"/>
      </font>
    </dxf>
    <dxf>
      <font>
        <b val="0"/>
        <condense val="0"/>
        <extend val="0"/>
        <color indexed="4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kf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ASHA\MyDocs\!work!\Zvity\Lkfact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ASHA\MyDocs\Documents%20and%20Settings\Alex.Yakimenko\&#1052;&#1086;&#1080;%20&#1076;&#1086;&#1082;&#1091;&#1084;&#1077;&#1085;&#1090;&#1099;\Contynium\Chernivci\2003\September\Documents%20and%20Settings\&#1040;&#1076;&#1084;&#1080;&#1085;&#1080;&#1089;&#1090;&#1088;&#1072;&#1090;&#1086;&#1088;\&#1052;&#1086;&#1080;%20&#1076;&#1086;&#1082;&#1091;&#1084;&#1077;&#1085;&#1090;&#1099;\&#1055;&#1083;&#1072;&#1085;&#1086;&#1074;&#1080;&#1081;\Continium\Lutsk\2003\May\Lkfact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west-8073932\&#1076;&#1086;&#1082;&#1091;&#1084;&#1077;&#1085;&#1090;&#1099;\Documents%20and%20Settings\User\&#1056;&#1072;&#1073;&#1086;&#1095;&#1080;&#1081;%20&#1089;&#1090;&#1086;&#1083;\VOLWEST_GROUP\ECONOMIC\ANNUAL%20PLAN\2008\SID_2008\PLAN_SID_20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7;&#1074;&#1110;&#1090;&#1085;&#1110;&#1089;&#1090;&#1100;%202025/&#1057;&#1077;&#1088;&#1087;&#1077;&#1085;&#1100;/&#1092;&#1086;&#1088;&#1084;&#1072;%203%20&#1050;&#1042;&#1030;%20&#1089;&#1077;&#1088;&#1087;&#1077;&#1085;&#1100;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ramel Vyr Price"/>
      <sheetName val="EXP08"/>
      <sheetName val="v"/>
      <sheetName val="r"/>
      <sheetName val="Real-Indicators"/>
      <sheetName val="Real-Unity"/>
      <sheetName val="Product-Indicators"/>
      <sheetName val="Product-Unity"/>
      <sheetName val="STORES"/>
      <sheetName val="Sweet Vyr Price"/>
      <sheetName val="Bisquet Vyr Price"/>
      <sheetName val="Karamel Real Price"/>
      <sheetName val="Sweet Real Price"/>
      <sheetName val="Bisquet Real Price"/>
      <sheetName val="k"/>
      <sheetName val="s"/>
      <sheetName val="b"/>
      <sheetName val="6 Budg Prod"/>
      <sheetName val="Price Karamel"/>
      <sheetName val="Price Sweet"/>
      <sheetName val="Price Bisquet"/>
      <sheetName val="FORMA"/>
      <sheetName val="VvodPrice"/>
      <sheetName val="CVP Karamel"/>
      <sheetName val="CVP Sweet (1)"/>
      <sheetName val="CVP Sweet (2)"/>
      <sheetName val="CVP marmelad Bisquet"/>
      <sheetName val="PRICES"/>
      <sheetName val="Glazuri"/>
      <sheetName val="Praline"/>
      <sheetName val="1 Raw Material"/>
      <sheetName val="2 Raw Material"/>
      <sheetName val="RawPlan"/>
      <sheetName val="Additional  Material"/>
      <sheetName val="Tara"/>
      <sheetName val="EXPORT"/>
      <sheetName val="EXPORT (2)"/>
      <sheetName val="EXPORT (3)"/>
      <sheetName val="EXPORT (4)"/>
      <sheetName val="EXPORT (5)"/>
      <sheetName val="EXPORT (6)"/>
      <sheetName val="Product-In"/>
      <sheetName val="6 Turnover Prod (K)"/>
      <sheetName val="6 Turnover Prod (Sw)"/>
      <sheetName val="6 Turnover Prod (Bs)"/>
      <sheetName val="1"/>
      <sheetName val="Bisquet Plan Price"/>
      <sheetName val="Sweet Plan Price"/>
    </sheetNames>
    <sheetDataSet>
      <sheetData sheetId="0" refreshError="1">
        <row r="81">
          <cell r="R81">
            <v>593.16119908664018</v>
          </cell>
        </row>
        <row r="82">
          <cell r="R82">
            <v>526.69568757756406</v>
          </cell>
        </row>
        <row r="83">
          <cell r="R83">
            <v>404.22512468450634</v>
          </cell>
        </row>
        <row r="84">
          <cell r="R84">
            <v>967.17377296476502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eet Plan Price"/>
      <sheetName val="Bisquet Plan Price"/>
      <sheetName val="U-Indicators"/>
      <sheetName val="CVP Karamel"/>
      <sheetName val="Unity  Fixed"/>
      <sheetName val="SHOPS"/>
      <sheetName val="Karamel"/>
      <sheetName val="Sweet"/>
      <sheetName val="Bisquet"/>
      <sheetName val="REALG (2)"/>
      <sheetName val="Karamel Plan Price"/>
      <sheetName val="BAZA"/>
      <sheetName val="VvodPrice"/>
      <sheetName val="CVP Sweet (1)"/>
      <sheetName val="CVP Sweet (2)"/>
      <sheetName val="CVP marmelad Bisquet"/>
      <sheetName val="PRICES"/>
      <sheetName val="Glazuri"/>
      <sheetName val="Tarniy"/>
      <sheetName val="BOX"/>
      <sheetName val="Praline"/>
      <sheetName val="Praline2"/>
      <sheetName val="1 Raw Material"/>
      <sheetName val="2 Raw Material"/>
      <sheetName val="RawPlan"/>
      <sheetName val="Additional  Material"/>
      <sheetName val="Tara"/>
      <sheetName val="EXPORT"/>
      <sheetName val="EXPORT (2)"/>
      <sheetName val="EXPORT (3)"/>
      <sheetName val="EXPORT (4)"/>
      <sheetName val="EXPORT (5)"/>
      <sheetName val="EXPORT (6)"/>
      <sheetName val="Karamel Vyr Price"/>
    </sheetNames>
    <sheetDataSet>
      <sheetData sheetId="0" refreshError="1">
        <row r="5">
          <cell r="R5">
            <v>4938.6325604422682</v>
          </cell>
        </row>
        <row r="6">
          <cell r="R6">
            <v>1767.5521883599272</v>
          </cell>
        </row>
        <row r="7">
          <cell r="R7">
            <v>1891.6019547022054</v>
          </cell>
        </row>
        <row r="8">
          <cell r="R8">
            <v>2398.6751266357828</v>
          </cell>
        </row>
        <row r="9">
          <cell r="R9">
            <v>3077.6196477838989</v>
          </cell>
        </row>
        <row r="10">
          <cell r="R10">
            <v>4430.5304277993519</v>
          </cell>
        </row>
        <row r="11">
          <cell r="R11">
            <v>3027.8505922434633</v>
          </cell>
        </row>
        <row r="12">
          <cell r="R12">
            <v>1372.4531423693991</v>
          </cell>
        </row>
        <row r="13">
          <cell r="R13">
            <v>2956.6765768610858</v>
          </cell>
        </row>
        <row r="14">
          <cell r="R14">
            <v>2886.9653342991533</v>
          </cell>
        </row>
        <row r="15">
          <cell r="R15">
            <v>3015.2477483955317</v>
          </cell>
        </row>
        <row r="16">
          <cell r="R16">
            <v>2753.5767316984525</v>
          </cell>
        </row>
        <row r="17">
          <cell r="R17">
            <v>1740.6930509352701</v>
          </cell>
        </row>
        <row r="18">
          <cell r="R18">
            <v>1301.0133932390961</v>
          </cell>
        </row>
        <row r="19">
          <cell r="R19">
            <v>2496.7572986681103</v>
          </cell>
        </row>
        <row r="20">
          <cell r="R20">
            <v>2666.1400701830353</v>
          </cell>
        </row>
        <row r="21">
          <cell r="R21">
            <v>3431.5284651109851</v>
          </cell>
        </row>
        <row r="22">
          <cell r="R22">
            <v>4844.6102838502147</v>
          </cell>
        </row>
        <row r="23">
          <cell r="R23">
            <v>3252.5628819015556</v>
          </cell>
        </row>
        <row r="24">
          <cell r="R24">
            <v>4247.0892415208737</v>
          </cell>
        </row>
        <row r="25">
          <cell r="R25">
            <v>3299.5699235300631</v>
          </cell>
        </row>
        <row r="26">
          <cell r="R26">
            <v>4044.7022969232535</v>
          </cell>
        </row>
        <row r="27">
          <cell r="R27">
            <v>3362.9144005800908</v>
          </cell>
        </row>
        <row r="28">
          <cell r="R28">
            <v>3366.2185181166969</v>
          </cell>
        </row>
        <row r="29">
          <cell r="R29">
            <v>2875.586600257936</v>
          </cell>
        </row>
        <row r="30">
          <cell r="R30">
            <v>3169.0767975976378</v>
          </cell>
        </row>
        <row r="31">
          <cell r="R31">
            <v>3037.5277161745698</v>
          </cell>
        </row>
        <row r="32">
          <cell r="R32">
            <v>3234.2850148096077</v>
          </cell>
        </row>
        <row r="33">
          <cell r="R33">
            <v>3239.4974775570277</v>
          </cell>
        </row>
        <row r="34">
          <cell r="R34">
            <v>3095.2023768018503</v>
          </cell>
        </row>
        <row r="35">
          <cell r="R35">
            <v>3988.4923246579551</v>
          </cell>
        </row>
        <row r="36">
          <cell r="R36">
            <v>2469.3108492294155</v>
          </cell>
        </row>
        <row r="37">
          <cell r="R37">
            <v>1779.4892403695401</v>
          </cell>
        </row>
        <row r="38">
          <cell r="R38">
            <v>1772.4213634054129</v>
          </cell>
        </row>
        <row r="39">
          <cell r="R39">
            <v>1747.7376890163894</v>
          </cell>
        </row>
        <row r="40">
          <cell r="R40">
            <v>1543.7165147582396</v>
          </cell>
        </row>
        <row r="41">
          <cell r="R41">
            <v>3694.3305855243834</v>
          </cell>
        </row>
        <row r="42">
          <cell r="R42">
            <v>3121.9157056052545</v>
          </cell>
        </row>
        <row r="43">
          <cell r="R43">
            <v>3323.4707962254529</v>
          </cell>
        </row>
        <row r="44">
          <cell r="R44">
            <v>3992.7735824190963</v>
          </cell>
        </row>
        <row r="45">
          <cell r="R45">
            <v>2913.837916687246</v>
          </cell>
        </row>
        <row r="46">
          <cell r="R46">
            <v>2303.8125745692996</v>
          </cell>
        </row>
        <row r="47">
          <cell r="R47">
            <v>2309.1288149432321</v>
          </cell>
        </row>
        <row r="48">
          <cell r="R48">
            <v>3254.0079740553092</v>
          </cell>
        </row>
        <row r="49">
          <cell r="R49">
            <v>1739.346449278914</v>
          </cell>
        </row>
        <row r="50">
          <cell r="R50">
            <v>1714.8136910968522</v>
          </cell>
        </row>
        <row r="51">
          <cell r="R51">
            <v>1567.2072907797615</v>
          </cell>
        </row>
        <row r="52">
          <cell r="R52">
            <v>2768.5876925153493</v>
          </cell>
        </row>
        <row r="53">
          <cell r="R53">
            <v>2567.3931614295388</v>
          </cell>
        </row>
        <row r="54">
          <cell r="R54">
            <v>3626.3390823168438</v>
          </cell>
        </row>
        <row r="55">
          <cell r="R55">
            <v>2481.5047403078506</v>
          </cell>
        </row>
        <row r="56">
          <cell r="R56">
            <v>2709.3029486465043</v>
          </cell>
        </row>
        <row r="57">
          <cell r="R57">
            <v>2807.2632999108014</v>
          </cell>
        </row>
        <row r="58">
          <cell r="R58">
            <v>3814.4484219087194</v>
          </cell>
        </row>
        <row r="59">
          <cell r="R59">
            <v>4409.2089665111816</v>
          </cell>
        </row>
        <row r="60">
          <cell r="R60">
            <v>3432.837799541152</v>
          </cell>
        </row>
        <row r="63">
          <cell r="R63">
            <v>656.58677039618033</v>
          </cell>
        </row>
        <row r="66">
          <cell r="R66">
            <v>1404.4860644044977</v>
          </cell>
        </row>
        <row r="67">
          <cell r="R67">
            <v>1908.1364794443043</v>
          </cell>
        </row>
        <row r="68">
          <cell r="R68">
            <v>805.37870386668055</v>
          </cell>
        </row>
        <row r="69">
          <cell r="R69">
            <v>845.11277791244481</v>
          </cell>
        </row>
        <row r="70">
          <cell r="R70">
            <v>804.24569846429131</v>
          </cell>
        </row>
        <row r="71">
          <cell r="R71">
            <v>843.9345428454202</v>
          </cell>
        </row>
        <row r="72">
          <cell r="R72">
            <v>804.61623117836871</v>
          </cell>
        </row>
        <row r="73">
          <cell r="R73">
            <v>844.31120006716833</v>
          </cell>
        </row>
        <row r="74">
          <cell r="R74">
            <v>808.66890696388919</v>
          </cell>
        </row>
        <row r="75">
          <cell r="R75">
            <v>848.45736453192148</v>
          </cell>
        </row>
        <row r="76">
          <cell r="R76">
            <v>803.90480117235973</v>
          </cell>
        </row>
        <row r="77">
          <cell r="R77">
            <v>843.61271663862078</v>
          </cell>
        </row>
        <row r="78">
          <cell r="R78">
            <v>1169.8618122658397</v>
          </cell>
        </row>
        <row r="79">
          <cell r="R79">
            <v>880.39294029286953</v>
          </cell>
        </row>
        <row r="80">
          <cell r="R80">
            <v>974.25899817585173</v>
          </cell>
        </row>
        <row r="81">
          <cell r="R81">
            <v>2485.0461096988333</v>
          </cell>
        </row>
        <row r="82">
          <cell r="R82">
            <v>1365.5710859865715</v>
          </cell>
        </row>
        <row r="83">
          <cell r="R83">
            <v>1355.9581706651729</v>
          </cell>
        </row>
        <row r="84">
          <cell r="R84">
            <v>2600.4650541038054</v>
          </cell>
        </row>
        <row r="85">
          <cell r="R85">
            <v>1205.94651920604</v>
          </cell>
        </row>
        <row r="86">
          <cell r="R86">
            <v>1004.2317653401159</v>
          </cell>
        </row>
        <row r="87">
          <cell r="R87">
            <v>856.06265398475955</v>
          </cell>
        </row>
        <row r="88">
          <cell r="R88">
            <v>857.22165564087561</v>
          </cell>
        </row>
        <row r="89">
          <cell r="R89">
            <v>863.4259113331982</v>
          </cell>
        </row>
        <row r="90">
          <cell r="R90">
            <v>857.48511695670277</v>
          </cell>
        </row>
        <row r="91">
          <cell r="R91">
            <v>857.45928741593548</v>
          </cell>
        </row>
        <row r="92">
          <cell r="R92">
            <v>1142.4371242243235</v>
          </cell>
        </row>
        <row r="93">
          <cell r="R93">
            <v>1615.7881630044283</v>
          </cell>
        </row>
        <row r="94">
          <cell r="R94">
            <v>995.88036844475869</v>
          </cell>
        </row>
        <row r="95">
          <cell r="R95">
            <v>1461.4237848440989</v>
          </cell>
        </row>
        <row r="96">
          <cell r="R96">
            <v>966.26744520633372</v>
          </cell>
        </row>
        <row r="97">
          <cell r="R97">
            <v>1016.0557290993436</v>
          </cell>
        </row>
        <row r="98">
          <cell r="R98">
            <v>1808.6617179447596</v>
          </cell>
        </row>
        <row r="99">
          <cell r="R99">
            <v>943.32171965328746</v>
          </cell>
        </row>
        <row r="100">
          <cell r="R100">
            <v>1206.7655803361622</v>
          </cell>
        </row>
        <row r="101">
          <cell r="R101">
            <v>1379.0958980856619</v>
          </cell>
        </row>
        <row r="102">
          <cell r="R102">
            <v>1231.0891314694654</v>
          </cell>
        </row>
        <row r="103">
          <cell r="R103">
            <v>1212.3869944184605</v>
          </cell>
        </row>
        <row r="110">
          <cell r="R110">
            <v>761.89633441020487</v>
          </cell>
        </row>
        <row r="111">
          <cell r="R111">
            <v>777.90084126061754</v>
          </cell>
        </row>
        <row r="112">
          <cell r="R112">
            <v>860.8197411789439</v>
          </cell>
        </row>
        <row r="113">
          <cell r="R113">
            <v>1465.4689730592424</v>
          </cell>
        </row>
        <row r="116">
          <cell r="R116">
            <v>763.47641220125956</v>
          </cell>
        </row>
        <row r="119">
          <cell r="R119">
            <v>828.29134422069956</v>
          </cell>
        </row>
        <row r="122">
          <cell r="R122">
            <v>838.60372969349805</v>
          </cell>
        </row>
        <row r="123">
          <cell r="R123">
            <v>1366.3341053790602</v>
          </cell>
        </row>
        <row r="124">
          <cell r="R124">
            <v>559.8413997301609</v>
          </cell>
        </row>
        <row r="125">
          <cell r="R125">
            <v>809.06366297332568</v>
          </cell>
        </row>
        <row r="126">
          <cell r="R126">
            <v>536.05371322553867</v>
          </cell>
        </row>
        <row r="127">
          <cell r="R127">
            <v>742.34036331910409</v>
          </cell>
        </row>
      </sheetData>
      <sheetData sheetId="1" refreshError="1">
        <row r="5">
          <cell r="R5">
            <v>1296.8337670529406</v>
          </cell>
        </row>
        <row r="6">
          <cell r="R6">
            <v>1279.8435184993373</v>
          </cell>
        </row>
        <row r="7">
          <cell r="R7">
            <v>1244.2621470368131</v>
          </cell>
        </row>
        <row r="8">
          <cell r="R8">
            <v>1253.2521192492948</v>
          </cell>
        </row>
        <row r="9">
          <cell r="R9">
            <v>1232.0105849355957</v>
          </cell>
        </row>
        <row r="10">
          <cell r="R10">
            <v>1215.7420872363505</v>
          </cell>
        </row>
        <row r="11">
          <cell r="R11">
            <v>1472.1879545720235</v>
          </cell>
        </row>
        <row r="12">
          <cell r="R12">
            <v>1792.4838864223543</v>
          </cell>
        </row>
        <row r="13">
          <cell r="R13">
            <v>1764.3725717011639</v>
          </cell>
        </row>
        <row r="14">
          <cell r="R14">
            <v>1745.2598083290954</v>
          </cell>
        </row>
        <row r="15">
          <cell r="R15">
            <v>1708.4074699094065</v>
          </cell>
        </row>
        <row r="16">
          <cell r="R16">
            <v>1712.3135742932286</v>
          </cell>
        </row>
        <row r="17">
          <cell r="R17">
            <v>1691.0720399795298</v>
          </cell>
        </row>
        <row r="18">
          <cell r="R18">
            <v>1674.803542280285</v>
          </cell>
        </row>
        <row r="19">
          <cell r="R19">
            <v>1647.1725254018734</v>
          </cell>
        </row>
        <row r="20">
          <cell r="R20">
            <v>1563.9210770011407</v>
          </cell>
        </row>
        <row r="21">
          <cell r="R21">
            <v>1177.4733050599937</v>
          </cell>
        </row>
        <row r="22">
          <cell r="R22">
            <v>1242.1607959898404</v>
          </cell>
        </row>
        <row r="23">
          <cell r="R23">
            <v>1223.0480326177719</v>
          </cell>
        </row>
        <row r="24">
          <cell r="R24">
            <v>1186.1956941980829</v>
          </cell>
        </row>
        <row r="25">
          <cell r="R25">
            <v>1190.1017985819053</v>
          </cell>
        </row>
        <row r="26">
          <cell r="R26">
            <v>1047.2699462467808</v>
          </cell>
        </row>
        <row r="27">
          <cell r="R27">
            <v>1791.5487508952135</v>
          </cell>
        </row>
        <row r="28">
          <cell r="R28">
            <v>1772.4359875231451</v>
          </cell>
        </row>
        <row r="29">
          <cell r="R29">
            <v>1735.5836491034561</v>
          </cell>
        </row>
        <row r="30">
          <cell r="R30">
            <v>1886.5027492983729</v>
          </cell>
        </row>
        <row r="31">
          <cell r="R31">
            <v>1739.4897534872784</v>
          </cell>
        </row>
        <row r="32">
          <cell r="R32">
            <v>1718.2482191735799</v>
          </cell>
        </row>
        <row r="33">
          <cell r="R33">
            <v>1701.9797214743346</v>
          </cell>
        </row>
        <row r="34">
          <cell r="R34">
            <v>1596.2028405804181</v>
          </cell>
        </row>
        <row r="35">
          <cell r="R35">
            <v>1859.7918234371307</v>
          </cell>
        </row>
        <row r="36">
          <cell r="R36">
            <v>1907.2699194344964</v>
          </cell>
        </row>
        <row r="37">
          <cell r="R37">
            <v>1261.7986525381918</v>
          </cell>
        </row>
        <row r="38">
          <cell r="R38">
            <v>1408.5100053785463</v>
          </cell>
        </row>
        <row r="39">
          <cell r="R39">
            <v>1169.369039316781</v>
          </cell>
        </row>
        <row r="40">
          <cell r="R40">
            <v>1107.8256341559004</v>
          </cell>
        </row>
        <row r="41">
          <cell r="R41">
            <v>1256.0896878870467</v>
          </cell>
        </row>
        <row r="42">
          <cell r="R42">
            <v>1848.0483392682811</v>
          </cell>
        </row>
        <row r="43">
          <cell r="R43">
            <v>1906.6819079170507</v>
          </cell>
        </row>
        <row r="44">
          <cell r="R44">
            <v>1972.1545006258718</v>
          </cell>
        </row>
        <row r="45">
          <cell r="R45">
            <v>1887.569144544982</v>
          </cell>
        </row>
        <row r="46">
          <cell r="R46">
            <v>1850.7168061252928</v>
          </cell>
        </row>
        <row r="47">
          <cell r="R47">
            <v>1854.6229105091154</v>
          </cell>
        </row>
        <row r="48">
          <cell r="R48">
            <v>1817.1128784961716</v>
          </cell>
        </row>
        <row r="49">
          <cell r="R49">
            <v>1954.5355467916459</v>
          </cell>
        </row>
        <row r="50">
          <cell r="R50">
            <v>1789.4818616177597</v>
          </cell>
        </row>
        <row r="51">
          <cell r="R51">
            <v>1956.263742055939</v>
          </cell>
        </row>
        <row r="52">
          <cell r="R52">
            <v>1908.4101031813436</v>
          </cell>
        </row>
        <row r="53">
          <cell r="R53">
            <v>2091.2003450208463</v>
          </cell>
        </row>
        <row r="54">
          <cell r="R54">
            <v>1889.2973398092754</v>
          </cell>
        </row>
        <row r="55">
          <cell r="R55">
            <v>1856.3511057734088</v>
          </cell>
        </row>
        <row r="56">
          <cell r="R56">
            <v>1877.8875289893956</v>
          </cell>
        </row>
        <row r="57">
          <cell r="R57">
            <v>1416.9238001700412</v>
          </cell>
        </row>
        <row r="58">
          <cell r="R58">
            <v>1351.513595283297</v>
          </cell>
        </row>
        <row r="59">
          <cell r="R59">
            <v>1541.2723781558936</v>
          </cell>
        </row>
        <row r="60">
          <cell r="R60">
            <v>1660.329238300827</v>
          </cell>
        </row>
        <row r="61">
          <cell r="R61">
            <v>1765.1145324474478</v>
          </cell>
        </row>
        <row r="62">
          <cell r="R62">
            <v>1393.1384745999328</v>
          </cell>
        </row>
        <row r="63">
          <cell r="R63">
            <v>1046.0406026897062</v>
          </cell>
        </row>
        <row r="64">
          <cell r="R64">
            <v>1341.0338365799175</v>
          </cell>
        </row>
        <row r="65">
          <cell r="R65">
            <v>1400.3364440775554</v>
          </cell>
        </row>
        <row r="66">
          <cell r="R66">
            <v>1467.6113311070737</v>
          </cell>
        </row>
        <row r="67">
          <cell r="R67">
            <v>1381.2236807054869</v>
          </cell>
        </row>
        <row r="68">
          <cell r="R68">
            <v>1344.3713422857979</v>
          </cell>
        </row>
        <row r="69">
          <cell r="R69">
            <v>2156.1098447039208</v>
          </cell>
        </row>
        <row r="70">
          <cell r="R70">
            <v>1775.4563795071042</v>
          </cell>
        </row>
        <row r="71">
          <cell r="R71">
            <v>1520.2386882957367</v>
          </cell>
        </row>
        <row r="72">
          <cell r="R72">
            <v>1036.3824114173988</v>
          </cell>
        </row>
        <row r="73">
          <cell r="R73">
            <v>1275.3201721057319</v>
          </cell>
        </row>
        <row r="74">
          <cell r="R74">
            <v>1634.2677883606057</v>
          </cell>
        </row>
        <row r="75">
          <cell r="R75">
            <v>1194.9010786143012</v>
          </cell>
        </row>
        <row r="76">
          <cell r="R76">
            <v>1074.2198024892937</v>
          </cell>
        </row>
        <row r="77">
          <cell r="R77">
            <v>1392.1069023196312</v>
          </cell>
        </row>
        <row r="78">
          <cell r="R78">
            <v>1553.0998113007813</v>
          </cell>
        </row>
        <row r="79">
          <cell r="R79">
            <v>1367.4078530987072</v>
          </cell>
        </row>
        <row r="80">
          <cell r="R80">
            <v>1381.6414173166149</v>
          </cell>
        </row>
        <row r="81">
          <cell r="R81">
            <v>1536.5946815777709</v>
          </cell>
        </row>
        <row r="82">
          <cell r="R82">
            <v>801.53287884289614</v>
          </cell>
        </row>
        <row r="83">
          <cell r="R83">
            <v>717.28883543243785</v>
          </cell>
        </row>
        <row r="84">
          <cell r="R84">
            <v>900.34677362340108</v>
          </cell>
        </row>
        <row r="85">
          <cell r="R85">
            <v>1189.2430074812321</v>
          </cell>
        </row>
        <row r="86">
          <cell r="R86">
            <v>1353.124679506006</v>
          </cell>
        </row>
        <row r="87">
          <cell r="R87">
            <v>1491.4154589541454</v>
          </cell>
        </row>
        <row r="88">
          <cell r="R88">
            <v>1444.6586158658504</v>
          </cell>
        </row>
        <row r="89">
          <cell r="R89">
            <v>1425.5458524937819</v>
          </cell>
        </row>
        <row r="90">
          <cell r="R90">
            <v>1388.6935140740929</v>
          </cell>
        </row>
        <row r="91">
          <cell r="R91">
            <v>1539.6126142690098</v>
          </cell>
        </row>
        <row r="92">
          <cell r="R92">
            <v>1490.2440810543767</v>
          </cell>
        </row>
        <row r="93">
          <cell r="R93">
            <v>1392.5996184579153</v>
          </cell>
        </row>
        <row r="94">
          <cell r="R94">
            <v>1371.3580841442169</v>
          </cell>
        </row>
        <row r="95">
          <cell r="R95">
            <v>1355.0895864449715</v>
          </cell>
        </row>
        <row r="96">
          <cell r="R96">
            <v>1326.3617737802595</v>
          </cell>
        </row>
        <row r="97">
          <cell r="R97">
            <v>1470.2452791919486</v>
          </cell>
        </row>
        <row r="98">
          <cell r="R98">
            <v>1388.911548302043</v>
          </cell>
        </row>
        <row r="99">
          <cell r="R99">
            <v>1249.3127055510549</v>
          </cell>
        </row>
        <row r="100">
          <cell r="R100">
            <v>1081.7731727745606</v>
          </cell>
        </row>
        <row r="101">
          <cell r="R101">
            <v>1639.9897221246449</v>
          </cell>
        </row>
        <row r="102">
          <cell r="R102">
            <v>1555.4921360297576</v>
          </cell>
        </row>
        <row r="103">
          <cell r="R103">
            <v>1532.7160747314463</v>
          </cell>
        </row>
        <row r="104">
          <cell r="R104">
            <v>1340.7658441710364</v>
          </cell>
        </row>
        <row r="105">
          <cell r="R105">
            <v>1736.330016888355</v>
          </cell>
        </row>
        <row r="108">
          <cell r="R108">
            <v>1351.6425938229067</v>
          </cell>
        </row>
        <row r="109">
          <cell r="R109">
            <v>754.84381334701118</v>
          </cell>
        </row>
        <row r="110">
          <cell r="R110">
            <v>1226.1032932831888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ty  Fixed"/>
      <sheetName val="Лист1"/>
      <sheetName val="U-Indicators"/>
      <sheetName val="may"/>
      <sheetName val="4m"/>
      <sheetName val="Karamel"/>
      <sheetName val="Sweet"/>
      <sheetName val="Bisquet"/>
      <sheetName val="REALG"/>
      <sheetName val="Karamel Plan Price"/>
      <sheetName val="Sweet Plan Price"/>
      <sheetName val="Bisquet Plan Price"/>
      <sheetName val="FORMA"/>
      <sheetName val="VvodPrice"/>
      <sheetName val="CVP Karamel"/>
      <sheetName val="CVP Sweet (1)"/>
      <sheetName val="CVP Sweet (2)"/>
      <sheetName val="CVP marmelad Bisquet"/>
      <sheetName val="PRICES"/>
      <sheetName val="Glazuri"/>
      <sheetName val="Tarniy"/>
      <sheetName val="BOX"/>
      <sheetName val="Praline"/>
      <sheetName val="Praline2"/>
      <sheetName val="1 Raw Material"/>
      <sheetName val="2 Raw Material"/>
      <sheetName val="RawPlan"/>
      <sheetName val="Additional  Material"/>
      <sheetName val="Tara"/>
      <sheetName val="EXPORT"/>
      <sheetName val="EXPORT (2)"/>
      <sheetName val="EXPORT (3)"/>
      <sheetName val="EXPORT (4)"/>
      <sheetName val="EXPORT (5)"/>
      <sheetName val="EXPORT (6)"/>
      <sheetName val="тиражі"/>
    </sheetNames>
    <sheetDataSet>
      <sheetData sheetId="0" refreshError="1">
        <row r="38">
          <cell r="E38">
            <v>1926174.4378566837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ражі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г."/>
      <sheetName val="ПП ВДГ"/>
      <sheetName val="Корсак Л.Р."/>
      <sheetName val="Корсак В.І."/>
      <sheetName val="Конякіна"/>
    </sheetNames>
    <sheetDataSet>
      <sheetData sheetId="0" refreshError="1"/>
      <sheetData sheetId="1">
        <row r="18">
          <cell r="C18">
            <v>175000</v>
          </cell>
          <cell r="D18">
            <v>61000</v>
          </cell>
          <cell r="I18">
            <v>175000</v>
          </cell>
          <cell r="J18">
            <v>61000</v>
          </cell>
          <cell r="O18">
            <v>175000</v>
          </cell>
          <cell r="P18">
            <v>61000</v>
          </cell>
          <cell r="U18">
            <v>270000</v>
          </cell>
          <cell r="V18">
            <v>4000</v>
          </cell>
          <cell r="AA18">
            <v>175000</v>
          </cell>
          <cell r="AB18">
            <v>61000</v>
          </cell>
          <cell r="AG18">
            <v>180000</v>
          </cell>
          <cell r="AH18">
            <v>62000</v>
          </cell>
          <cell r="AM18">
            <v>175000</v>
          </cell>
          <cell r="AN18">
            <v>61000</v>
          </cell>
          <cell r="AS18">
            <v>175000</v>
          </cell>
          <cell r="AT18">
            <v>61000</v>
          </cell>
          <cell r="AY18">
            <v>175000</v>
          </cell>
          <cell r="AZ18">
            <v>61000</v>
          </cell>
          <cell r="BK18">
            <v>175000</v>
          </cell>
          <cell r="BL18">
            <v>55000</v>
          </cell>
          <cell r="BQ18">
            <v>235000</v>
          </cell>
          <cell r="BR18">
            <v>5000</v>
          </cell>
        </row>
        <row r="19">
          <cell r="C19">
            <v>115000</v>
          </cell>
          <cell r="D19">
            <v>60000</v>
          </cell>
          <cell r="I19">
            <v>115000</v>
          </cell>
          <cell r="J19">
            <v>60000</v>
          </cell>
          <cell r="O19">
            <v>115000</v>
          </cell>
          <cell r="P19">
            <v>60000</v>
          </cell>
          <cell r="U19">
            <v>120000</v>
          </cell>
          <cell r="V19">
            <v>4000</v>
          </cell>
          <cell r="AA19">
            <v>115000</v>
          </cell>
          <cell r="AB19">
            <v>60000</v>
          </cell>
          <cell r="AG19">
            <v>70000</v>
          </cell>
          <cell r="AH19">
            <v>60000</v>
          </cell>
          <cell r="AM19">
            <v>65000</v>
          </cell>
          <cell r="AN19">
            <v>61000</v>
          </cell>
          <cell r="AS19">
            <v>115000</v>
          </cell>
          <cell r="AT19">
            <v>60000</v>
          </cell>
          <cell r="AY19">
            <v>115000</v>
          </cell>
          <cell r="AZ19">
            <v>60000</v>
          </cell>
          <cell r="BK19">
            <v>66000</v>
          </cell>
          <cell r="BL19">
            <v>55000</v>
          </cell>
          <cell r="BQ19">
            <v>135000</v>
          </cell>
          <cell r="BR19">
            <v>3000</v>
          </cell>
        </row>
        <row r="29">
          <cell r="D29">
            <v>23000</v>
          </cell>
          <cell r="J29">
            <v>23000</v>
          </cell>
          <cell r="P29">
            <v>23000</v>
          </cell>
          <cell r="U29">
            <v>120000</v>
          </cell>
          <cell r="V29">
            <v>17000</v>
          </cell>
          <cell r="AB29">
            <v>21000</v>
          </cell>
          <cell r="AH29">
            <v>13000</v>
          </cell>
          <cell r="AN29">
            <v>13000</v>
          </cell>
          <cell r="AT29">
            <v>12000</v>
          </cell>
          <cell r="AZ29">
            <v>21000</v>
          </cell>
          <cell r="BL29">
            <v>23000</v>
          </cell>
          <cell r="BR29">
            <v>13000</v>
          </cell>
        </row>
        <row r="34">
          <cell r="C34">
            <v>23000</v>
          </cell>
          <cell r="D34">
            <v>19000</v>
          </cell>
          <cell r="I34">
            <v>23000</v>
          </cell>
          <cell r="J34">
            <v>19000</v>
          </cell>
          <cell r="O34">
            <v>23000</v>
          </cell>
          <cell r="P34">
            <v>19000</v>
          </cell>
          <cell r="U34">
            <v>23000</v>
          </cell>
          <cell r="V34">
            <v>22000</v>
          </cell>
          <cell r="AA34">
            <v>21000</v>
          </cell>
          <cell r="AB34">
            <v>17000</v>
          </cell>
          <cell r="AG34">
            <v>21000</v>
          </cell>
          <cell r="AH34">
            <v>17000</v>
          </cell>
          <cell r="AM34">
            <v>24000</v>
          </cell>
          <cell r="AN34">
            <v>11000</v>
          </cell>
          <cell r="AS34">
            <v>24000</v>
          </cell>
          <cell r="AT34">
            <v>20000</v>
          </cell>
          <cell r="AY34">
            <v>21000</v>
          </cell>
          <cell r="AZ34">
            <v>17000</v>
          </cell>
          <cell r="BK34">
            <v>23000</v>
          </cell>
          <cell r="BL34">
            <v>19000</v>
          </cell>
          <cell r="BQ34">
            <v>26000</v>
          </cell>
          <cell r="BR34">
            <v>20000</v>
          </cell>
        </row>
        <row r="35">
          <cell r="C35">
            <v>17000</v>
          </cell>
          <cell r="I35">
            <v>17000</v>
          </cell>
          <cell r="O35">
            <v>17000</v>
          </cell>
          <cell r="U35">
            <v>12300</v>
          </cell>
          <cell r="AA35">
            <v>16000</v>
          </cell>
          <cell r="AG35">
            <v>12500</v>
          </cell>
          <cell r="AM35">
            <v>11000</v>
          </cell>
          <cell r="AS35">
            <v>12000</v>
          </cell>
          <cell r="AY35">
            <v>16000</v>
          </cell>
          <cell r="BK35">
            <v>19000</v>
          </cell>
          <cell r="BQ35">
            <v>17000</v>
          </cell>
        </row>
        <row r="38">
          <cell r="C38">
            <v>0</v>
          </cell>
          <cell r="D38">
            <v>0</v>
          </cell>
          <cell r="I38">
            <v>0</v>
          </cell>
          <cell r="J38">
            <v>0</v>
          </cell>
          <cell r="O38">
            <v>0</v>
          </cell>
          <cell r="P38">
            <v>0</v>
          </cell>
          <cell r="U38">
            <v>12210</v>
          </cell>
          <cell r="V38">
            <v>0</v>
          </cell>
          <cell r="AA38">
            <v>2596</v>
          </cell>
          <cell r="AB38">
            <v>0</v>
          </cell>
          <cell r="AG38">
            <v>2554</v>
          </cell>
          <cell r="AH38">
            <v>0</v>
          </cell>
          <cell r="AM38">
            <v>2514</v>
          </cell>
          <cell r="AN38">
            <v>0</v>
          </cell>
          <cell r="AS38">
            <v>2475</v>
          </cell>
          <cell r="AT38">
            <v>0</v>
          </cell>
          <cell r="AY38">
            <v>0</v>
          </cell>
          <cell r="AZ38">
            <v>0</v>
          </cell>
          <cell r="BK38">
            <v>2366</v>
          </cell>
          <cell r="BL38">
            <v>0</v>
          </cell>
          <cell r="BQ38">
            <v>2332</v>
          </cell>
          <cell r="BR38">
            <v>0</v>
          </cell>
        </row>
        <row r="41">
          <cell r="U41">
            <v>10000</v>
          </cell>
        </row>
        <row r="42">
          <cell r="U42">
            <v>2210</v>
          </cell>
          <cell r="AA42">
            <v>2596</v>
          </cell>
          <cell r="AG42">
            <v>2554</v>
          </cell>
          <cell r="AM42">
            <v>2514</v>
          </cell>
          <cell r="AS42">
            <v>2475</v>
          </cell>
          <cell r="BK42">
            <v>2366</v>
          </cell>
          <cell r="BQ42">
            <v>2332</v>
          </cell>
        </row>
        <row r="44">
          <cell r="C44">
            <v>9400</v>
          </cell>
          <cell r="I44">
            <v>9100</v>
          </cell>
          <cell r="O44">
            <v>8800</v>
          </cell>
          <cell r="AA44">
            <v>0</v>
          </cell>
          <cell r="AY44">
            <v>7200</v>
          </cell>
        </row>
        <row r="45">
          <cell r="C45">
            <v>70000</v>
          </cell>
          <cell r="D45">
            <v>5000</v>
          </cell>
          <cell r="I45">
            <v>65000</v>
          </cell>
          <cell r="O45">
            <v>65000</v>
          </cell>
          <cell r="U45">
            <v>80000</v>
          </cell>
          <cell r="AA45">
            <v>60000</v>
          </cell>
          <cell r="AG45">
            <v>60000</v>
          </cell>
          <cell r="AM45">
            <v>60000</v>
          </cell>
          <cell r="AS45">
            <v>60000</v>
          </cell>
          <cell r="AY45">
            <v>60000</v>
          </cell>
          <cell r="BK45">
            <v>65000</v>
          </cell>
          <cell r="BL45">
            <v>5000</v>
          </cell>
          <cell r="BQ45">
            <v>75000</v>
          </cell>
          <cell r="BR45">
            <v>5000</v>
          </cell>
        </row>
        <row r="46">
          <cell r="C46">
            <v>3000</v>
          </cell>
          <cell r="I46">
            <v>3000</v>
          </cell>
          <cell r="O46">
            <v>3000</v>
          </cell>
          <cell r="U46">
            <v>3000</v>
          </cell>
          <cell r="AA46">
            <v>3000</v>
          </cell>
          <cell r="AG46">
            <v>3000</v>
          </cell>
          <cell r="AM46">
            <v>3000</v>
          </cell>
          <cell r="AS46">
            <v>3000</v>
          </cell>
          <cell r="AT46">
            <v>3000</v>
          </cell>
          <cell r="AY46">
            <v>3000</v>
          </cell>
          <cell r="BK46">
            <v>3000</v>
          </cell>
          <cell r="BQ46">
            <v>3000</v>
          </cell>
        </row>
        <row r="48">
          <cell r="C48">
            <v>2300</v>
          </cell>
          <cell r="I48">
            <v>2300</v>
          </cell>
          <cell r="O48">
            <v>2300</v>
          </cell>
          <cell r="U48">
            <v>2000</v>
          </cell>
          <cell r="AA48">
            <v>5300</v>
          </cell>
          <cell r="AG48">
            <v>4000</v>
          </cell>
          <cell r="AM48">
            <v>2300</v>
          </cell>
          <cell r="AS48">
            <v>2300</v>
          </cell>
          <cell r="AY48">
            <v>2300</v>
          </cell>
          <cell r="BK48">
            <v>3500</v>
          </cell>
          <cell r="BQ48">
            <v>3500</v>
          </cell>
          <cell r="BR48">
            <v>500</v>
          </cell>
        </row>
        <row r="52">
          <cell r="U52">
            <v>9000</v>
          </cell>
          <cell r="AG52">
            <v>8000</v>
          </cell>
          <cell r="AM52">
            <v>8000</v>
          </cell>
          <cell r="AS52">
            <v>7000</v>
          </cell>
          <cell r="BK52">
            <v>7000</v>
          </cell>
          <cell r="BQ52">
            <v>7500</v>
          </cell>
        </row>
        <row r="53">
          <cell r="C53">
            <v>3000</v>
          </cell>
          <cell r="D53">
            <v>3000</v>
          </cell>
          <cell r="I53">
            <v>3000</v>
          </cell>
          <cell r="J53">
            <v>3000</v>
          </cell>
          <cell r="O53">
            <v>3000</v>
          </cell>
          <cell r="P53">
            <v>3000</v>
          </cell>
          <cell r="U53">
            <v>10000</v>
          </cell>
          <cell r="V53">
            <v>7000</v>
          </cell>
          <cell r="AA53">
            <v>3000</v>
          </cell>
          <cell r="AB53">
            <v>3000</v>
          </cell>
          <cell r="AG53">
            <v>3000</v>
          </cell>
          <cell r="AH53">
            <v>3000</v>
          </cell>
          <cell r="AM53">
            <v>5000</v>
          </cell>
          <cell r="AN53">
            <v>8000</v>
          </cell>
          <cell r="AS53">
            <v>3000</v>
          </cell>
          <cell r="AT53">
            <v>3000</v>
          </cell>
          <cell r="AY53">
            <v>3000</v>
          </cell>
          <cell r="AZ53">
            <v>3000</v>
          </cell>
          <cell r="BK53">
            <v>3000</v>
          </cell>
          <cell r="BL53">
            <v>3000</v>
          </cell>
          <cell r="BQ53">
            <v>4000</v>
          </cell>
          <cell r="BR53">
            <v>3000</v>
          </cell>
        </row>
        <row r="54">
          <cell r="C54">
            <v>800</v>
          </cell>
          <cell r="I54">
            <v>800</v>
          </cell>
          <cell r="O54">
            <v>800</v>
          </cell>
          <cell r="U54">
            <v>450</v>
          </cell>
          <cell r="V54">
            <v>300</v>
          </cell>
          <cell r="AA54">
            <v>800</v>
          </cell>
          <cell r="AG54">
            <v>800</v>
          </cell>
          <cell r="AM54">
            <v>800</v>
          </cell>
          <cell r="AS54">
            <v>1000</v>
          </cell>
          <cell r="AY54">
            <v>800</v>
          </cell>
          <cell r="BK54">
            <v>750</v>
          </cell>
          <cell r="BQ54">
            <v>700</v>
          </cell>
          <cell r="BR54">
            <v>100</v>
          </cell>
        </row>
        <row r="55">
          <cell r="C55">
            <v>2600</v>
          </cell>
          <cell r="I55">
            <v>2600</v>
          </cell>
          <cell r="O55">
            <v>2600</v>
          </cell>
          <cell r="U55">
            <v>4000</v>
          </cell>
          <cell r="AA55">
            <v>2600</v>
          </cell>
          <cell r="AG55">
            <v>2600</v>
          </cell>
          <cell r="AM55">
            <v>3400</v>
          </cell>
          <cell r="AS55">
            <v>3300</v>
          </cell>
          <cell r="AY55">
            <v>2600</v>
          </cell>
          <cell r="BK55">
            <v>6000</v>
          </cell>
          <cell r="BQ55">
            <v>6000</v>
          </cell>
        </row>
        <row r="56">
          <cell r="C56">
            <v>40000</v>
          </cell>
          <cell r="I56">
            <v>40000</v>
          </cell>
          <cell r="O56">
            <v>40000</v>
          </cell>
          <cell r="U56">
            <v>50000</v>
          </cell>
          <cell r="AA56">
            <v>40000</v>
          </cell>
          <cell r="AG56">
            <v>40000</v>
          </cell>
          <cell r="AM56">
            <v>40000</v>
          </cell>
          <cell r="AS56">
            <v>39000</v>
          </cell>
          <cell r="AY56">
            <v>40000</v>
          </cell>
          <cell r="BK56">
            <v>40000</v>
          </cell>
          <cell r="BQ56">
            <v>40000</v>
          </cell>
        </row>
        <row r="57">
          <cell r="V57">
            <v>200</v>
          </cell>
          <cell r="AH57">
            <v>250</v>
          </cell>
          <cell r="AN57">
            <v>200</v>
          </cell>
          <cell r="AT57">
            <v>250</v>
          </cell>
          <cell r="BL57">
            <v>500</v>
          </cell>
          <cell r="BR57">
            <v>500</v>
          </cell>
        </row>
        <row r="58">
          <cell r="C58">
            <v>0</v>
          </cell>
          <cell r="D58">
            <v>0</v>
          </cell>
          <cell r="I58">
            <v>0</v>
          </cell>
          <cell r="J58">
            <v>0</v>
          </cell>
          <cell r="O58">
            <v>0</v>
          </cell>
          <cell r="P58">
            <v>0</v>
          </cell>
          <cell r="U58">
            <v>27757</v>
          </cell>
          <cell r="V58">
            <v>0</v>
          </cell>
          <cell r="AA58">
            <v>0</v>
          </cell>
          <cell r="AB58">
            <v>0</v>
          </cell>
          <cell r="AG58">
            <v>5407</v>
          </cell>
          <cell r="AH58">
            <v>0</v>
          </cell>
          <cell r="AM58">
            <v>5202</v>
          </cell>
          <cell r="AN58">
            <v>0</v>
          </cell>
          <cell r="AS58">
            <v>5006</v>
          </cell>
          <cell r="AT58">
            <v>0</v>
          </cell>
          <cell r="AY58">
            <v>0</v>
          </cell>
          <cell r="AZ58">
            <v>0</v>
          </cell>
          <cell r="BK58">
            <v>0</v>
          </cell>
          <cell r="BL58">
            <v>0</v>
          </cell>
          <cell r="BQ58">
            <v>0</v>
          </cell>
          <cell r="BR58">
            <v>0</v>
          </cell>
        </row>
        <row r="60">
          <cell r="U60">
            <v>27757</v>
          </cell>
          <cell r="AG60">
            <v>5407</v>
          </cell>
          <cell r="AM60">
            <v>5202</v>
          </cell>
          <cell r="AS60">
            <v>5006</v>
          </cell>
        </row>
        <row r="63">
          <cell r="C63">
            <v>1700</v>
          </cell>
          <cell r="I63">
            <v>1700</v>
          </cell>
          <cell r="O63">
            <v>1700</v>
          </cell>
          <cell r="AA63">
            <v>1800</v>
          </cell>
          <cell r="AG63">
            <v>1800</v>
          </cell>
          <cell r="AM63">
            <v>1750</v>
          </cell>
          <cell r="AS63">
            <v>1800</v>
          </cell>
          <cell r="AY63">
            <v>1700</v>
          </cell>
          <cell r="BK63">
            <v>1850</v>
          </cell>
          <cell r="BQ63">
            <v>1900</v>
          </cell>
        </row>
        <row r="64">
          <cell r="C64">
            <v>1700</v>
          </cell>
          <cell r="I64">
            <v>1700</v>
          </cell>
          <cell r="O64">
            <v>1700</v>
          </cell>
          <cell r="AA64">
            <v>1800</v>
          </cell>
          <cell r="AG64">
            <v>1800</v>
          </cell>
          <cell r="AM64">
            <v>1750</v>
          </cell>
          <cell r="AS64">
            <v>1800</v>
          </cell>
          <cell r="AY64">
            <v>1700</v>
          </cell>
          <cell r="BK64">
            <v>1850</v>
          </cell>
          <cell r="BQ64">
            <v>1900</v>
          </cell>
        </row>
        <row r="69">
          <cell r="D69">
            <v>57000</v>
          </cell>
          <cell r="J69">
            <v>62000</v>
          </cell>
          <cell r="P69">
            <v>62000</v>
          </cell>
          <cell r="U69">
            <v>120000</v>
          </cell>
          <cell r="V69">
            <v>-8500</v>
          </cell>
          <cell r="AB69">
            <v>62000</v>
          </cell>
          <cell r="AH69">
            <v>54750</v>
          </cell>
          <cell r="AN69">
            <v>54800</v>
          </cell>
          <cell r="AT69">
            <v>46750</v>
          </cell>
          <cell r="AZ69">
            <v>62000</v>
          </cell>
          <cell r="BL69">
            <v>50500</v>
          </cell>
          <cell r="BR69">
            <v>-11100</v>
          </cell>
        </row>
      </sheetData>
      <sheetData sheetId="2">
        <row r="18">
          <cell r="D18">
            <v>60000</v>
          </cell>
          <cell r="J18">
            <v>60000</v>
          </cell>
          <cell r="P18">
            <v>60000</v>
          </cell>
          <cell r="V18">
            <v>28000</v>
          </cell>
          <cell r="AB18">
            <v>60000</v>
          </cell>
          <cell r="AH18">
            <v>62000</v>
          </cell>
          <cell r="AN18">
            <v>63000</v>
          </cell>
          <cell r="AT18">
            <v>60000</v>
          </cell>
          <cell r="AZ18">
            <v>60000</v>
          </cell>
          <cell r="BL18">
            <v>63000</v>
          </cell>
          <cell r="BR18">
            <v>60000</v>
          </cell>
        </row>
        <row r="19">
          <cell r="D19">
            <v>60000</v>
          </cell>
          <cell r="J19">
            <v>60000</v>
          </cell>
          <cell r="P19">
            <v>60000</v>
          </cell>
          <cell r="V19">
            <v>28000</v>
          </cell>
          <cell r="AB19">
            <v>60000</v>
          </cell>
          <cell r="AH19">
            <v>62000</v>
          </cell>
          <cell r="AN19">
            <v>63000</v>
          </cell>
          <cell r="AT19">
            <v>60000</v>
          </cell>
          <cell r="AZ19">
            <v>60000</v>
          </cell>
          <cell r="BL19">
            <v>63000</v>
          </cell>
          <cell r="BR19">
            <v>60000</v>
          </cell>
        </row>
        <row r="38">
          <cell r="C38">
            <v>0</v>
          </cell>
          <cell r="D38">
            <v>0</v>
          </cell>
          <cell r="I38">
            <v>0</v>
          </cell>
          <cell r="J38">
            <v>0</v>
          </cell>
          <cell r="O38">
            <v>0</v>
          </cell>
          <cell r="P38">
            <v>0</v>
          </cell>
          <cell r="U38">
            <v>0</v>
          </cell>
          <cell r="V38">
            <v>0</v>
          </cell>
          <cell r="AA38">
            <v>0</v>
          </cell>
          <cell r="AB38">
            <v>0</v>
          </cell>
          <cell r="AG38">
            <v>0</v>
          </cell>
          <cell r="AH38">
            <v>0</v>
          </cell>
          <cell r="AM38">
            <v>0</v>
          </cell>
          <cell r="AN38">
            <v>0</v>
          </cell>
          <cell r="AS38">
            <v>0</v>
          </cell>
          <cell r="AT38">
            <v>0</v>
          </cell>
          <cell r="AY38">
            <v>0</v>
          </cell>
          <cell r="AZ38">
            <v>0</v>
          </cell>
          <cell r="BK38">
            <v>0</v>
          </cell>
          <cell r="BL38">
            <v>0</v>
          </cell>
          <cell r="BQ38">
            <v>0</v>
          </cell>
          <cell r="BR38">
            <v>0</v>
          </cell>
        </row>
        <row r="54">
          <cell r="D54">
            <v>200</v>
          </cell>
          <cell r="J54">
            <v>200</v>
          </cell>
          <cell r="P54">
            <v>200</v>
          </cell>
          <cell r="V54">
            <v>155</v>
          </cell>
          <cell r="AB54">
            <v>200</v>
          </cell>
          <cell r="AH54">
            <v>127</v>
          </cell>
          <cell r="AN54">
            <v>130</v>
          </cell>
          <cell r="AT54">
            <v>130</v>
          </cell>
          <cell r="AZ54">
            <v>200</v>
          </cell>
          <cell r="BL54">
            <v>127</v>
          </cell>
          <cell r="BR54">
            <v>127</v>
          </cell>
        </row>
        <row r="56">
          <cell r="D56">
            <v>13100</v>
          </cell>
          <cell r="J56">
            <v>13100</v>
          </cell>
          <cell r="P56">
            <v>13100</v>
          </cell>
          <cell r="V56">
            <v>15291</v>
          </cell>
          <cell r="AB56">
            <v>12350</v>
          </cell>
          <cell r="AH56">
            <v>12330</v>
          </cell>
          <cell r="AN56">
            <v>12327</v>
          </cell>
          <cell r="AT56">
            <v>12327</v>
          </cell>
          <cell r="AZ56">
            <v>13100</v>
          </cell>
          <cell r="BL56">
            <v>12327</v>
          </cell>
          <cell r="BR56">
            <v>12327</v>
          </cell>
        </row>
        <row r="58">
          <cell r="C58">
            <v>0</v>
          </cell>
          <cell r="D58">
            <v>0</v>
          </cell>
          <cell r="I58">
            <v>0</v>
          </cell>
          <cell r="J58">
            <v>0</v>
          </cell>
          <cell r="O58">
            <v>0</v>
          </cell>
          <cell r="P58">
            <v>0</v>
          </cell>
          <cell r="U58">
            <v>0</v>
          </cell>
          <cell r="V58">
            <v>0</v>
          </cell>
          <cell r="AA58">
            <v>0</v>
          </cell>
          <cell r="AB58">
            <v>0</v>
          </cell>
          <cell r="AG58">
            <v>0</v>
          </cell>
          <cell r="AH58">
            <v>0</v>
          </cell>
          <cell r="AM58">
            <v>0</v>
          </cell>
          <cell r="AN58">
            <v>0</v>
          </cell>
          <cell r="AS58">
            <v>0</v>
          </cell>
          <cell r="AT58">
            <v>0</v>
          </cell>
          <cell r="AY58">
            <v>0</v>
          </cell>
          <cell r="AZ58">
            <v>0</v>
          </cell>
          <cell r="BK58">
            <v>0</v>
          </cell>
          <cell r="BL58">
            <v>0</v>
          </cell>
          <cell r="BQ58">
            <v>0</v>
          </cell>
          <cell r="BR58">
            <v>0</v>
          </cell>
        </row>
        <row r="69">
          <cell r="D69">
            <v>46700</v>
          </cell>
          <cell r="J69">
            <v>46700</v>
          </cell>
          <cell r="P69">
            <v>46700</v>
          </cell>
          <cell r="V69">
            <v>12554</v>
          </cell>
          <cell r="AB69">
            <v>47450</v>
          </cell>
          <cell r="AH69">
            <v>49543</v>
          </cell>
          <cell r="AN69">
            <v>50543</v>
          </cell>
          <cell r="AT69">
            <v>47543</v>
          </cell>
          <cell r="AZ69">
            <v>46700</v>
          </cell>
          <cell r="BL69">
            <v>50546</v>
          </cell>
          <cell r="BR69">
            <v>47546</v>
          </cell>
        </row>
      </sheetData>
      <sheetData sheetId="3">
        <row r="18">
          <cell r="D18">
            <v>70000</v>
          </cell>
          <cell r="J18">
            <v>70000</v>
          </cell>
          <cell r="P18">
            <v>70000</v>
          </cell>
          <cell r="V18">
            <v>65000</v>
          </cell>
          <cell r="AB18">
            <v>70000</v>
          </cell>
          <cell r="AH18">
            <v>75000</v>
          </cell>
          <cell r="AN18">
            <v>70000</v>
          </cell>
          <cell r="AT18">
            <v>70000</v>
          </cell>
          <cell r="AZ18">
            <v>70000</v>
          </cell>
          <cell r="BL18">
            <v>65000</v>
          </cell>
          <cell r="BR18">
            <v>70000</v>
          </cell>
        </row>
        <row r="19">
          <cell r="D19">
            <v>70000</v>
          </cell>
          <cell r="J19">
            <v>70000</v>
          </cell>
          <cell r="P19">
            <v>70000</v>
          </cell>
          <cell r="V19">
            <v>65000</v>
          </cell>
          <cell r="AB19">
            <v>70000</v>
          </cell>
          <cell r="AH19">
            <v>75000</v>
          </cell>
          <cell r="AN19">
            <v>70000</v>
          </cell>
          <cell r="AT19">
            <v>70000</v>
          </cell>
          <cell r="AZ19">
            <v>70000</v>
          </cell>
          <cell r="BL19">
            <v>65000</v>
          </cell>
          <cell r="BR19">
            <v>70000</v>
          </cell>
        </row>
        <row r="20">
          <cell r="AB20">
            <v>3200</v>
          </cell>
          <cell r="AH20">
            <v>3500</v>
          </cell>
          <cell r="AN20">
            <v>3700</v>
          </cell>
          <cell r="AT20">
            <v>3700</v>
          </cell>
        </row>
        <row r="38">
          <cell r="C38">
            <v>0</v>
          </cell>
          <cell r="D38">
            <v>0</v>
          </cell>
          <cell r="I38">
            <v>0</v>
          </cell>
          <cell r="J38">
            <v>0</v>
          </cell>
          <cell r="O38">
            <v>0</v>
          </cell>
          <cell r="P38">
            <v>0</v>
          </cell>
          <cell r="U38">
            <v>0</v>
          </cell>
          <cell r="V38">
            <v>0</v>
          </cell>
          <cell r="AA38">
            <v>0</v>
          </cell>
          <cell r="AB38">
            <v>0</v>
          </cell>
          <cell r="AG38">
            <v>0</v>
          </cell>
          <cell r="AH38">
            <v>0</v>
          </cell>
          <cell r="AM38">
            <v>0</v>
          </cell>
          <cell r="AN38">
            <v>0</v>
          </cell>
          <cell r="AS38">
            <v>0</v>
          </cell>
          <cell r="AT38">
            <v>0</v>
          </cell>
          <cell r="AY38">
            <v>0</v>
          </cell>
          <cell r="AZ38">
            <v>0</v>
          </cell>
          <cell r="BK38">
            <v>0</v>
          </cell>
          <cell r="BL38">
            <v>0</v>
          </cell>
          <cell r="BQ38">
            <v>0</v>
          </cell>
          <cell r="BR38">
            <v>0</v>
          </cell>
        </row>
        <row r="53">
          <cell r="D53">
            <v>1000</v>
          </cell>
          <cell r="J53">
            <v>1000</v>
          </cell>
          <cell r="P53">
            <v>1000</v>
          </cell>
          <cell r="V53">
            <v>1000</v>
          </cell>
          <cell r="AB53">
            <v>1000</v>
          </cell>
          <cell r="AH53">
            <v>1000</v>
          </cell>
          <cell r="AN53">
            <v>1000</v>
          </cell>
          <cell r="AT53">
            <v>1000</v>
          </cell>
          <cell r="AZ53">
            <v>1000</v>
          </cell>
          <cell r="BL53">
            <v>1000</v>
          </cell>
          <cell r="BR53">
            <v>1000</v>
          </cell>
        </row>
        <row r="54">
          <cell r="D54">
            <v>105</v>
          </cell>
          <cell r="J54">
            <v>105</v>
          </cell>
          <cell r="P54">
            <v>105</v>
          </cell>
          <cell r="V54">
            <v>113</v>
          </cell>
          <cell r="AB54">
            <v>105</v>
          </cell>
          <cell r="AH54">
            <v>105</v>
          </cell>
          <cell r="AN54">
            <v>105</v>
          </cell>
          <cell r="AT54">
            <v>105</v>
          </cell>
          <cell r="AZ54">
            <v>105</v>
          </cell>
          <cell r="BL54">
            <v>105</v>
          </cell>
          <cell r="BR54">
            <v>103</v>
          </cell>
        </row>
        <row r="56">
          <cell r="D56">
            <v>10200</v>
          </cell>
          <cell r="J56">
            <v>10200</v>
          </cell>
          <cell r="P56">
            <v>10200</v>
          </cell>
          <cell r="V56">
            <v>12200</v>
          </cell>
          <cell r="AB56">
            <v>10200</v>
          </cell>
          <cell r="AH56">
            <v>10200</v>
          </cell>
          <cell r="AN56">
            <v>10215</v>
          </cell>
          <cell r="AT56">
            <v>10200</v>
          </cell>
          <cell r="AZ56">
            <v>10200</v>
          </cell>
          <cell r="BL56">
            <v>10200</v>
          </cell>
          <cell r="BR56">
            <v>10214</v>
          </cell>
        </row>
        <row r="58">
          <cell r="C58">
            <v>0</v>
          </cell>
          <cell r="D58">
            <v>0</v>
          </cell>
          <cell r="I58">
            <v>0</v>
          </cell>
          <cell r="J58">
            <v>0</v>
          </cell>
          <cell r="O58">
            <v>0</v>
          </cell>
          <cell r="P58">
            <v>0</v>
          </cell>
          <cell r="U58">
            <v>0</v>
          </cell>
          <cell r="V58">
            <v>0</v>
          </cell>
          <cell r="AA58">
            <v>0</v>
          </cell>
          <cell r="AB58">
            <v>0</v>
          </cell>
          <cell r="AG58">
            <v>0</v>
          </cell>
          <cell r="AH58">
            <v>0</v>
          </cell>
          <cell r="AM58">
            <v>0</v>
          </cell>
          <cell r="AN58">
            <v>0</v>
          </cell>
          <cell r="AS58">
            <v>0</v>
          </cell>
          <cell r="AT58">
            <v>0</v>
          </cell>
          <cell r="AY58">
            <v>0</v>
          </cell>
          <cell r="AZ58">
            <v>0</v>
          </cell>
          <cell r="BK58">
            <v>0</v>
          </cell>
          <cell r="BL58">
            <v>0</v>
          </cell>
          <cell r="BQ58">
            <v>0</v>
          </cell>
          <cell r="BR58">
            <v>0</v>
          </cell>
        </row>
        <row r="61">
          <cell r="BR61">
            <v>15000</v>
          </cell>
        </row>
        <row r="69">
          <cell r="D69">
            <v>58695</v>
          </cell>
          <cell r="J69">
            <v>58695</v>
          </cell>
          <cell r="P69">
            <v>58695</v>
          </cell>
          <cell r="V69">
            <v>51687</v>
          </cell>
          <cell r="AB69">
            <v>61895</v>
          </cell>
          <cell r="AH69">
            <v>67195</v>
          </cell>
          <cell r="AN69">
            <v>62380</v>
          </cell>
          <cell r="AT69">
            <v>62395</v>
          </cell>
          <cell r="AZ69">
            <v>58695</v>
          </cell>
          <cell r="BL69">
            <v>53695</v>
          </cell>
          <cell r="BR69">
            <v>43683</v>
          </cell>
        </row>
      </sheetData>
      <sheetData sheetId="4">
        <row r="22">
          <cell r="O22">
            <v>1700</v>
          </cell>
          <cell r="AA22">
            <v>1800</v>
          </cell>
          <cell r="AG22">
            <v>1800</v>
          </cell>
          <cell r="AM22">
            <v>1750</v>
          </cell>
          <cell r="AS22">
            <v>1800</v>
          </cell>
          <cell r="AY22">
            <v>1700</v>
          </cell>
          <cell r="BK22">
            <v>1850</v>
          </cell>
          <cell r="BQ22">
            <v>1900</v>
          </cell>
        </row>
        <row r="23">
          <cell r="O23">
            <v>1700</v>
          </cell>
          <cell r="AA23">
            <v>1800</v>
          </cell>
          <cell r="AG23">
            <v>1800</v>
          </cell>
          <cell r="AM23">
            <v>1750</v>
          </cell>
          <cell r="AS23">
            <v>1800</v>
          </cell>
          <cell r="AY23">
            <v>1700</v>
          </cell>
          <cell r="BK23">
            <v>1850</v>
          </cell>
          <cell r="BQ23">
            <v>1900</v>
          </cell>
        </row>
        <row r="29">
          <cell r="O29">
            <v>15000</v>
          </cell>
          <cell r="AA29">
            <v>15000</v>
          </cell>
          <cell r="AG29">
            <v>12000</v>
          </cell>
          <cell r="AM29">
            <v>11000</v>
          </cell>
          <cell r="AS29">
            <v>15000</v>
          </cell>
          <cell r="AY29">
            <v>15000</v>
          </cell>
          <cell r="BK29">
            <v>15000</v>
          </cell>
          <cell r="BQ29">
            <v>10000</v>
          </cell>
        </row>
        <row r="34">
          <cell r="C34">
            <v>1030</v>
          </cell>
          <cell r="D34">
            <v>150</v>
          </cell>
          <cell r="I34">
            <v>1030</v>
          </cell>
          <cell r="J34">
            <v>150</v>
          </cell>
          <cell r="O34">
            <v>1030</v>
          </cell>
          <cell r="P34">
            <v>150</v>
          </cell>
          <cell r="AA34">
            <v>1030</v>
          </cell>
          <cell r="AB34">
            <v>150</v>
          </cell>
          <cell r="AG34">
            <v>1085</v>
          </cell>
          <cell r="AH34">
            <v>150</v>
          </cell>
          <cell r="AM34">
            <v>1084</v>
          </cell>
          <cell r="AN34">
            <v>150</v>
          </cell>
          <cell r="AS34">
            <v>1130</v>
          </cell>
          <cell r="AT34">
            <v>150</v>
          </cell>
          <cell r="AY34">
            <v>1030</v>
          </cell>
          <cell r="AZ34">
            <v>150</v>
          </cell>
          <cell r="BK34">
            <v>1120</v>
          </cell>
          <cell r="BL34">
            <v>150</v>
          </cell>
          <cell r="BQ34">
            <v>1127</v>
          </cell>
          <cell r="BR34">
            <v>450</v>
          </cell>
        </row>
        <row r="35">
          <cell r="C35">
            <v>550</v>
          </cell>
          <cell r="I35">
            <v>550</v>
          </cell>
          <cell r="O35">
            <v>550</v>
          </cell>
          <cell r="AA35">
            <v>550</v>
          </cell>
          <cell r="AG35">
            <v>590</v>
          </cell>
          <cell r="AM35">
            <v>500</v>
          </cell>
          <cell r="AS35">
            <v>610</v>
          </cell>
          <cell r="AY35">
            <v>550</v>
          </cell>
          <cell r="BK35">
            <v>630</v>
          </cell>
          <cell r="BQ35">
            <v>640</v>
          </cell>
        </row>
        <row r="38">
          <cell r="C38">
            <v>0</v>
          </cell>
          <cell r="D38">
            <v>0</v>
          </cell>
          <cell r="I38">
            <v>0</v>
          </cell>
          <cell r="J38">
            <v>0</v>
          </cell>
          <cell r="O38">
            <v>0</v>
          </cell>
          <cell r="P38">
            <v>0</v>
          </cell>
          <cell r="U38">
            <v>0</v>
          </cell>
          <cell r="V38">
            <v>0</v>
          </cell>
          <cell r="AA38">
            <v>0</v>
          </cell>
          <cell r="AB38">
            <v>0</v>
          </cell>
          <cell r="AG38">
            <v>0</v>
          </cell>
          <cell r="AH38">
            <v>0</v>
          </cell>
          <cell r="AM38">
            <v>0</v>
          </cell>
          <cell r="AN38">
            <v>0</v>
          </cell>
          <cell r="AS38">
            <v>0</v>
          </cell>
          <cell r="AT38">
            <v>0</v>
          </cell>
          <cell r="AY38">
            <v>0</v>
          </cell>
          <cell r="AZ38">
            <v>0</v>
          </cell>
          <cell r="BK38">
            <v>0</v>
          </cell>
          <cell r="BL38">
            <v>0</v>
          </cell>
          <cell r="BQ38">
            <v>0</v>
          </cell>
          <cell r="BR38">
            <v>0</v>
          </cell>
        </row>
        <row r="54">
          <cell r="C54">
            <v>85</v>
          </cell>
          <cell r="I54">
            <v>85</v>
          </cell>
          <cell r="O54">
            <v>85</v>
          </cell>
          <cell r="AA54">
            <v>85</v>
          </cell>
          <cell r="AG54">
            <v>85</v>
          </cell>
          <cell r="AM54">
            <v>85</v>
          </cell>
          <cell r="AS54">
            <v>85</v>
          </cell>
          <cell r="AY54">
            <v>85</v>
          </cell>
          <cell r="BK54">
            <v>85</v>
          </cell>
          <cell r="BQ54">
            <v>100</v>
          </cell>
        </row>
        <row r="55">
          <cell r="C55">
            <v>10</v>
          </cell>
          <cell r="I55">
            <v>10</v>
          </cell>
          <cell r="O55">
            <v>10</v>
          </cell>
          <cell r="AA55">
            <v>10</v>
          </cell>
          <cell r="AG55">
            <v>10</v>
          </cell>
          <cell r="AM55">
            <v>10</v>
          </cell>
          <cell r="AS55">
            <v>10</v>
          </cell>
          <cell r="AY55">
            <v>10</v>
          </cell>
          <cell r="BK55">
            <v>10</v>
          </cell>
          <cell r="BQ55">
            <v>10</v>
          </cell>
        </row>
        <row r="56">
          <cell r="C56">
            <v>20</v>
          </cell>
          <cell r="I56">
            <v>20</v>
          </cell>
          <cell r="O56">
            <v>20</v>
          </cell>
          <cell r="AA56">
            <v>20</v>
          </cell>
          <cell r="AS56">
            <v>20</v>
          </cell>
          <cell r="AY56">
            <v>20</v>
          </cell>
          <cell r="BK56">
            <v>20</v>
          </cell>
          <cell r="BQ56">
            <v>20</v>
          </cell>
        </row>
        <row r="57">
          <cell r="AN57">
            <v>25</v>
          </cell>
        </row>
        <row r="58">
          <cell r="C58">
            <v>0</v>
          </cell>
          <cell r="D58">
            <v>0</v>
          </cell>
          <cell r="I58">
            <v>0</v>
          </cell>
          <cell r="J58">
            <v>0</v>
          </cell>
          <cell r="O58">
            <v>0</v>
          </cell>
          <cell r="P58">
            <v>0</v>
          </cell>
          <cell r="U58">
            <v>0</v>
          </cell>
          <cell r="V58">
            <v>0</v>
          </cell>
          <cell r="AA58">
            <v>0</v>
          </cell>
          <cell r="AB58">
            <v>0</v>
          </cell>
          <cell r="AG58">
            <v>0</v>
          </cell>
          <cell r="AH58">
            <v>0</v>
          </cell>
          <cell r="AM58">
            <v>0</v>
          </cell>
          <cell r="AN58">
            <v>0</v>
          </cell>
          <cell r="AS58">
            <v>0</v>
          </cell>
          <cell r="AT58">
            <v>0</v>
          </cell>
          <cell r="AY58">
            <v>0</v>
          </cell>
          <cell r="AZ58">
            <v>0</v>
          </cell>
          <cell r="BK58">
            <v>0</v>
          </cell>
          <cell r="BL58">
            <v>0</v>
          </cell>
          <cell r="BQ58">
            <v>0</v>
          </cell>
          <cell r="BR58">
            <v>0</v>
          </cell>
        </row>
        <row r="69">
          <cell r="C69">
            <v>15000</v>
          </cell>
          <cell r="I69">
            <v>15000</v>
          </cell>
          <cell r="O69">
            <v>15000</v>
          </cell>
          <cell r="AA69">
            <v>15000</v>
          </cell>
          <cell r="AB69">
            <v>-150</v>
          </cell>
          <cell r="AG69">
            <v>12000</v>
          </cell>
          <cell r="AH69">
            <v>-150</v>
          </cell>
          <cell r="AM69">
            <v>11000</v>
          </cell>
          <cell r="AN69">
            <v>-175</v>
          </cell>
          <cell r="AS69">
            <v>15000</v>
          </cell>
          <cell r="AT69">
            <v>-150</v>
          </cell>
          <cell r="AY69">
            <v>15000</v>
          </cell>
          <cell r="BK69">
            <v>15000</v>
          </cell>
          <cell r="BL69">
            <v>-150</v>
          </cell>
          <cell r="BQ69">
            <v>10000</v>
          </cell>
          <cell r="BR69">
            <v>-450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78"/>
  <sheetViews>
    <sheetView tabSelected="1" workbookViewId="0">
      <pane xSplit="2" topLeftCell="AV1" activePane="topRight" state="frozen"/>
      <selection activeCell="A46" sqref="A46"/>
      <selection pane="topRight" activeCell="BF23" sqref="BF23"/>
    </sheetView>
  </sheetViews>
  <sheetFormatPr defaultRowHeight="12.75" outlineLevelRow="1" x14ac:dyDescent="0.2"/>
  <cols>
    <col min="1" max="1" width="7.28515625" customWidth="1"/>
    <col min="2" max="2" width="41.85546875" bestFit="1" customWidth="1"/>
    <col min="3" max="5" width="7.5703125" hidden="1" customWidth="1"/>
    <col min="6" max="6" width="11.42578125" bestFit="1" customWidth="1"/>
    <col min="7" max="7" width="10.140625" customWidth="1"/>
    <col min="8" max="8" width="11.42578125" bestFit="1" customWidth="1"/>
    <col min="9" max="11" width="7.5703125" hidden="1" customWidth="1"/>
    <col min="12" max="12" width="11.42578125" bestFit="1" customWidth="1"/>
    <col min="13" max="13" width="10.42578125" bestFit="1" customWidth="1"/>
    <col min="14" max="14" width="11.42578125" bestFit="1" customWidth="1"/>
    <col min="15" max="17" width="7.5703125" hidden="1" customWidth="1"/>
    <col min="18" max="18" width="11.42578125" bestFit="1" customWidth="1"/>
    <col min="19" max="19" width="10.42578125" bestFit="1" customWidth="1"/>
    <col min="20" max="20" width="11.42578125" bestFit="1" customWidth="1"/>
    <col min="21" max="23" width="7.5703125" hidden="1" customWidth="1"/>
    <col min="24" max="26" width="11.42578125" bestFit="1" customWidth="1"/>
    <col min="27" max="29" width="7.5703125" hidden="1" customWidth="1"/>
    <col min="30" max="32" width="11.42578125" bestFit="1" customWidth="1"/>
    <col min="33" max="35" width="7.5703125" hidden="1" customWidth="1"/>
    <col min="36" max="38" width="11.42578125" bestFit="1" customWidth="1"/>
    <col min="39" max="41" width="7.5703125" hidden="1" customWidth="1"/>
    <col min="42" max="44" width="11.42578125" bestFit="1" customWidth="1"/>
    <col min="45" max="47" width="7.5703125" hidden="1" customWidth="1"/>
    <col min="48" max="50" width="11.42578125" bestFit="1" customWidth="1"/>
    <col min="51" max="53" width="7.5703125" hidden="1" customWidth="1"/>
    <col min="54" max="54" width="11.42578125" bestFit="1" customWidth="1"/>
    <col min="55" max="55" width="10.42578125" bestFit="1" customWidth="1"/>
    <col min="56" max="56" width="11.42578125" bestFit="1" customWidth="1"/>
    <col min="57" max="57" width="11" customWidth="1"/>
    <col min="58" max="58" width="10.7109375" customWidth="1"/>
    <col min="59" max="59" width="10.28515625" customWidth="1"/>
    <col min="60" max="60" width="11.42578125" hidden="1" customWidth="1"/>
    <col min="61" max="61" width="10.42578125" hidden="1" customWidth="1"/>
    <col min="62" max="62" width="11.42578125" hidden="1" customWidth="1"/>
    <col min="63" max="65" width="7.5703125" hidden="1" customWidth="1"/>
    <col min="66" max="66" width="11.42578125" hidden="1" customWidth="1"/>
    <col min="67" max="67" width="10.42578125" hidden="1" customWidth="1"/>
    <col min="68" max="68" width="11.42578125" hidden="1" customWidth="1"/>
    <col min="69" max="71" width="7.5703125" hidden="1" customWidth="1"/>
    <col min="72" max="72" width="11.42578125" hidden="1" customWidth="1"/>
    <col min="73" max="73" width="11" hidden="1" customWidth="1"/>
    <col min="74" max="74" width="11.42578125" hidden="1" customWidth="1"/>
    <col min="75" max="77" width="0" hidden="1" customWidth="1"/>
    <col min="78" max="78" width="12" hidden="1" customWidth="1"/>
    <col min="79" max="79" width="11" hidden="1" customWidth="1"/>
    <col min="80" max="80" width="12" hidden="1" customWidth="1"/>
    <col min="81" max="82" width="0" hidden="1" customWidth="1"/>
  </cols>
  <sheetData>
    <row r="1" spans="1:80" ht="13.5" outlineLevel="1" x14ac:dyDescent="0.25">
      <c r="A1" s="86"/>
      <c r="B1" s="87" t="s">
        <v>0</v>
      </c>
      <c r="C1" s="88"/>
      <c r="D1" s="88"/>
      <c r="E1" s="89"/>
      <c r="F1" s="88"/>
      <c r="G1" s="88"/>
      <c r="H1" s="89"/>
    </row>
    <row r="2" spans="1:80" ht="13.5" outlineLevel="1" x14ac:dyDescent="0.25">
      <c r="A2" s="86"/>
      <c r="B2" s="87" t="s">
        <v>1</v>
      </c>
      <c r="C2" s="90"/>
      <c r="D2" s="90"/>
      <c r="E2" s="89"/>
      <c r="F2" s="90"/>
      <c r="G2" s="90"/>
      <c r="H2" s="89"/>
    </row>
    <row r="3" spans="1:80" ht="13.5" outlineLevel="1" x14ac:dyDescent="0.25">
      <c r="A3" s="86"/>
      <c r="B3" s="87" t="s">
        <v>2</v>
      </c>
      <c r="C3" s="90"/>
      <c r="D3" s="90"/>
      <c r="E3" s="89"/>
      <c r="F3" s="90"/>
      <c r="G3" s="90"/>
      <c r="H3" s="89"/>
    </row>
    <row r="4" spans="1:80" ht="13.5" outlineLevel="1" x14ac:dyDescent="0.25">
      <c r="A4" s="91"/>
      <c r="B4" s="87" t="s">
        <v>92</v>
      </c>
      <c r="C4" s="90"/>
      <c r="D4" s="90"/>
      <c r="E4" s="89"/>
      <c r="F4" s="90"/>
      <c r="G4" s="90"/>
      <c r="H4" s="89"/>
    </row>
    <row r="5" spans="1:80" ht="18" x14ac:dyDescent="0.25">
      <c r="A5" s="92" t="s">
        <v>4</v>
      </c>
      <c r="B5" s="93"/>
      <c r="C5" s="93"/>
      <c r="D5" s="93"/>
      <c r="E5" s="93"/>
    </row>
    <row r="6" spans="1:80" x14ac:dyDescent="0.2">
      <c r="A6" s="12"/>
      <c r="B6" s="13" t="s">
        <v>100</v>
      </c>
      <c r="C6" s="94"/>
      <c r="D6" s="94"/>
      <c r="E6" s="94"/>
      <c r="F6" s="94"/>
      <c r="G6" s="94"/>
      <c r="H6" s="94"/>
    </row>
    <row r="7" spans="1:80" ht="19.5" x14ac:dyDescent="0.2">
      <c r="A7" s="95"/>
      <c r="B7" s="96">
        <v>2025</v>
      </c>
      <c r="C7" s="172" t="s">
        <v>5</v>
      </c>
      <c r="D7" s="173"/>
      <c r="E7" s="180"/>
      <c r="F7" s="97" t="s">
        <v>5</v>
      </c>
      <c r="G7" s="98"/>
      <c r="H7" s="99"/>
      <c r="I7" s="181" t="s">
        <v>6</v>
      </c>
      <c r="J7" s="182"/>
      <c r="K7" s="182"/>
      <c r="L7" s="100" t="s">
        <v>6</v>
      </c>
      <c r="M7" s="100"/>
      <c r="N7" s="101"/>
      <c r="O7" s="174" t="s">
        <v>7</v>
      </c>
      <c r="P7" s="175"/>
      <c r="Q7" s="176"/>
      <c r="R7" s="102" t="s">
        <v>7</v>
      </c>
      <c r="S7" s="103"/>
      <c r="T7" s="104"/>
      <c r="U7" s="177" t="s">
        <v>8</v>
      </c>
      <c r="V7" s="178"/>
      <c r="W7" s="179"/>
      <c r="X7" s="105" t="s">
        <v>8</v>
      </c>
      <c r="Y7" s="106"/>
      <c r="Z7" s="107"/>
      <c r="AA7" s="172" t="s">
        <v>9</v>
      </c>
      <c r="AB7" s="173"/>
      <c r="AC7" s="180"/>
      <c r="AD7" s="97" t="s">
        <v>9</v>
      </c>
      <c r="AE7" s="98"/>
      <c r="AF7" s="99"/>
      <c r="AG7" s="181" t="s">
        <v>10</v>
      </c>
      <c r="AH7" s="182"/>
      <c r="AI7" s="183"/>
      <c r="AJ7" s="108" t="s">
        <v>10</v>
      </c>
      <c r="AK7" s="100"/>
      <c r="AL7" s="101"/>
      <c r="AM7" s="174" t="s">
        <v>11</v>
      </c>
      <c r="AN7" s="175"/>
      <c r="AO7" s="176"/>
      <c r="AP7" s="102" t="s">
        <v>11</v>
      </c>
      <c r="AQ7" s="103"/>
      <c r="AR7" s="104"/>
      <c r="AS7" s="177" t="s">
        <v>12</v>
      </c>
      <c r="AT7" s="178"/>
      <c r="AU7" s="179"/>
      <c r="AV7" s="105" t="s">
        <v>12</v>
      </c>
      <c r="AW7" s="106"/>
      <c r="AX7" s="105"/>
      <c r="AY7" s="172" t="s">
        <v>13</v>
      </c>
      <c r="AZ7" s="173"/>
      <c r="BA7" s="180"/>
      <c r="BB7" s="97" t="s">
        <v>13</v>
      </c>
      <c r="BC7" s="98"/>
      <c r="BD7" s="99"/>
      <c r="BE7" s="181" t="s">
        <v>14</v>
      </c>
      <c r="BF7" s="182"/>
      <c r="BG7" s="182"/>
      <c r="BH7" s="100" t="s">
        <v>14</v>
      </c>
      <c r="BI7" s="100"/>
      <c r="BJ7" s="101"/>
      <c r="BK7" s="174" t="s">
        <v>15</v>
      </c>
      <c r="BL7" s="175"/>
      <c r="BM7" s="176"/>
      <c r="BN7" s="102" t="s">
        <v>15</v>
      </c>
      <c r="BO7" s="103"/>
      <c r="BP7" s="104"/>
      <c r="BQ7" s="177" t="s">
        <v>16</v>
      </c>
      <c r="BR7" s="178"/>
      <c r="BS7" s="179"/>
      <c r="BT7" s="105" t="s">
        <v>16</v>
      </c>
      <c r="BU7" s="106"/>
      <c r="BV7" s="107"/>
      <c r="BW7" s="172" t="s">
        <v>91</v>
      </c>
      <c r="BX7" s="173"/>
      <c r="BY7" s="173"/>
      <c r="BZ7" s="172" t="s">
        <v>91</v>
      </c>
      <c r="CA7" s="173"/>
      <c r="CB7" s="173"/>
    </row>
    <row r="8" spans="1:80" ht="12.75" customHeight="1" x14ac:dyDescent="0.2">
      <c r="A8" s="109"/>
      <c r="B8" s="110" t="s">
        <v>18</v>
      </c>
      <c r="C8" s="111"/>
      <c r="D8" s="111"/>
      <c r="E8" s="111">
        <f>+D8+C8</f>
        <v>0</v>
      </c>
      <c r="F8" s="21">
        <v>26870.519999999786</v>
      </c>
      <c r="G8" s="21">
        <v>42072</v>
      </c>
      <c r="H8" s="111">
        <f>+G8+F8</f>
        <v>68942.519999999786</v>
      </c>
      <c r="I8" s="111"/>
      <c r="J8" s="111"/>
      <c r="K8" s="111">
        <f>+J8+I8</f>
        <v>0</v>
      </c>
      <c r="L8" s="111">
        <f>+F72</f>
        <v>6935.1499999997322</v>
      </c>
      <c r="M8" s="111">
        <f>+G72</f>
        <v>70184</v>
      </c>
      <c r="N8" s="111">
        <f>+M8+L8</f>
        <v>77119.149999999732</v>
      </c>
      <c r="O8" s="111"/>
      <c r="P8" s="111"/>
      <c r="Q8" s="111">
        <f>+P8+O8</f>
        <v>0</v>
      </c>
      <c r="R8" s="111">
        <f>+L72</f>
        <v>17482.209999999031</v>
      </c>
      <c r="S8" s="111">
        <f>+M72</f>
        <v>68137</v>
      </c>
      <c r="T8" s="111">
        <f>+S8+R8</f>
        <v>85619.209999999031</v>
      </c>
      <c r="U8" s="111"/>
      <c r="V8" s="111"/>
      <c r="W8" s="111">
        <f>+V8+U8</f>
        <v>0</v>
      </c>
      <c r="X8" s="111">
        <f>+R72</f>
        <v>314119.36999999825</v>
      </c>
      <c r="Y8" s="111">
        <f>+S72</f>
        <v>152076</v>
      </c>
      <c r="Z8" s="111">
        <f>+Y8+X8</f>
        <v>466195.36999999825</v>
      </c>
      <c r="AA8" s="111"/>
      <c r="AB8" s="111"/>
      <c r="AC8" s="111">
        <f>+AB8+AA8</f>
        <v>0</v>
      </c>
      <c r="AD8" s="111">
        <f>+X72</f>
        <v>151289.84999999823</v>
      </c>
      <c r="AE8" s="111">
        <f>+Y72</f>
        <v>341770</v>
      </c>
      <c r="AF8" s="111">
        <f>+AE8+AD8</f>
        <v>493059.84999999823</v>
      </c>
      <c r="AG8" s="111"/>
      <c r="AH8" s="111"/>
      <c r="AI8" s="111">
        <f>+AH8+AG8</f>
        <v>0</v>
      </c>
      <c r="AJ8" s="111">
        <f>+AD72</f>
        <v>118305.39999999828</v>
      </c>
      <c r="AK8" s="111">
        <f>+AE72</f>
        <v>499081</v>
      </c>
      <c r="AL8" s="111">
        <f>+AK8+AJ8</f>
        <v>617386.39999999828</v>
      </c>
      <c r="AM8" s="111"/>
      <c r="AN8" s="111"/>
      <c r="AO8" s="111">
        <f>+AN8+AM8</f>
        <v>0</v>
      </c>
      <c r="AP8" s="111">
        <f>+AJ72</f>
        <v>203802.97999999952</v>
      </c>
      <c r="AQ8" s="111">
        <f>+AK72</f>
        <v>445831</v>
      </c>
      <c r="AR8" s="111">
        <f>+AQ8+AP8</f>
        <v>649633.97999999952</v>
      </c>
      <c r="AS8" s="111"/>
      <c r="AT8" s="111"/>
      <c r="AU8" s="111">
        <f>+AT8+AS8</f>
        <v>0</v>
      </c>
      <c r="AV8" s="111">
        <f>+AP72</f>
        <v>586048.83999999939</v>
      </c>
      <c r="AW8" s="111">
        <f>+AQ72</f>
        <v>175836</v>
      </c>
      <c r="AX8" s="111">
        <f>+AW8+AV8</f>
        <v>761884.83999999939</v>
      </c>
      <c r="AY8" s="111"/>
      <c r="AZ8" s="111"/>
      <c r="BA8" s="111">
        <f>+AZ8+AY8</f>
        <v>0</v>
      </c>
      <c r="BB8" s="111">
        <f>+AV72</f>
        <v>68141.509999999311</v>
      </c>
      <c r="BC8" s="111">
        <f>+AW72</f>
        <v>47388</v>
      </c>
      <c r="BD8" s="111">
        <f>+BC8+BB8</f>
        <v>115529.50999999931</v>
      </c>
      <c r="BE8" s="111"/>
      <c r="BF8" s="111"/>
      <c r="BG8" s="111">
        <f>+BF8+BE8</f>
        <v>0</v>
      </c>
      <c r="BH8" s="111">
        <f>+BB72</f>
        <v>548793.91999999934</v>
      </c>
      <c r="BI8" s="111">
        <f>+BC72</f>
        <v>61285</v>
      </c>
      <c r="BJ8" s="111">
        <f>+BI8+BH8</f>
        <v>610078.91999999934</v>
      </c>
      <c r="BK8" s="111"/>
      <c r="BL8" s="111"/>
      <c r="BM8" s="111">
        <f>+BL8+BK8</f>
        <v>0</v>
      </c>
      <c r="BN8" s="111">
        <f>+BH72</f>
        <v>548793.91999999934</v>
      </c>
      <c r="BO8" s="111">
        <f>+BI72</f>
        <v>61285</v>
      </c>
      <c r="BP8" s="111">
        <f>+BO8+BN8</f>
        <v>610078.91999999934</v>
      </c>
      <c r="BQ8" s="111"/>
      <c r="BR8" s="111"/>
      <c r="BS8" s="111">
        <f>+BR8+BQ8</f>
        <v>0</v>
      </c>
      <c r="BT8" s="111">
        <f>+BN72</f>
        <v>548793.91999999934</v>
      </c>
      <c r="BU8" s="111">
        <f>+BO72</f>
        <v>61285</v>
      </c>
      <c r="BV8" s="111">
        <f>+BU8+BT8</f>
        <v>610078.91999999934</v>
      </c>
      <c r="BW8" s="111"/>
      <c r="BX8" s="111"/>
      <c r="BY8" s="111">
        <f>+BX8+BW8</f>
        <v>0</v>
      </c>
      <c r="BZ8" s="111">
        <f>+BT72</f>
        <v>548793.91999999934</v>
      </c>
      <c r="CA8" s="111">
        <f>+BU72</f>
        <v>61285</v>
      </c>
      <c r="CB8" s="111">
        <f>+CA8+BZ8</f>
        <v>610078.91999999934</v>
      </c>
    </row>
    <row r="9" spans="1:80" ht="15.2" customHeight="1" x14ac:dyDescent="0.2">
      <c r="A9" s="112"/>
      <c r="B9" s="113">
        <v>2025</v>
      </c>
      <c r="C9" s="171" t="s">
        <v>19</v>
      </c>
      <c r="D9" s="171"/>
      <c r="E9" s="171"/>
      <c r="F9" s="171" t="s">
        <v>20</v>
      </c>
      <c r="G9" s="171"/>
      <c r="H9" s="171"/>
      <c r="I9" s="171" t="s">
        <v>19</v>
      </c>
      <c r="J9" s="171"/>
      <c r="K9" s="171"/>
      <c r="L9" s="171" t="s">
        <v>20</v>
      </c>
      <c r="M9" s="171"/>
      <c r="N9" s="171"/>
      <c r="O9" s="171" t="s">
        <v>19</v>
      </c>
      <c r="P9" s="171"/>
      <c r="Q9" s="171"/>
      <c r="R9" s="171" t="s">
        <v>20</v>
      </c>
      <c r="S9" s="171"/>
      <c r="T9" s="171"/>
      <c r="U9" s="171" t="s">
        <v>19</v>
      </c>
      <c r="V9" s="171"/>
      <c r="W9" s="171"/>
      <c r="X9" s="171" t="s">
        <v>20</v>
      </c>
      <c r="Y9" s="171"/>
      <c r="Z9" s="171"/>
      <c r="AA9" s="171" t="s">
        <v>19</v>
      </c>
      <c r="AB9" s="171"/>
      <c r="AC9" s="171"/>
      <c r="AD9" s="171" t="s">
        <v>20</v>
      </c>
      <c r="AE9" s="171"/>
      <c r="AF9" s="171"/>
      <c r="AG9" s="171" t="s">
        <v>19</v>
      </c>
      <c r="AH9" s="171"/>
      <c r="AI9" s="171"/>
      <c r="AJ9" s="171" t="s">
        <v>20</v>
      </c>
      <c r="AK9" s="171"/>
      <c r="AL9" s="171"/>
      <c r="AM9" s="171" t="s">
        <v>19</v>
      </c>
      <c r="AN9" s="171"/>
      <c r="AO9" s="171"/>
      <c r="AP9" s="171" t="s">
        <v>20</v>
      </c>
      <c r="AQ9" s="171"/>
      <c r="AR9" s="171"/>
      <c r="AS9" s="171" t="s">
        <v>19</v>
      </c>
      <c r="AT9" s="171"/>
      <c r="AU9" s="171"/>
      <c r="AV9" s="171" t="s">
        <v>20</v>
      </c>
      <c r="AW9" s="171"/>
      <c r="AX9" s="171"/>
      <c r="AY9" s="171" t="s">
        <v>19</v>
      </c>
      <c r="AZ9" s="171"/>
      <c r="BA9" s="171"/>
      <c r="BB9" s="171" t="s">
        <v>20</v>
      </c>
      <c r="BC9" s="171"/>
      <c r="BD9" s="171"/>
      <c r="BE9" s="171" t="s">
        <v>19</v>
      </c>
      <c r="BF9" s="171"/>
      <c r="BG9" s="171"/>
      <c r="BH9" s="171" t="s">
        <v>20</v>
      </c>
      <c r="BI9" s="171"/>
      <c r="BJ9" s="171"/>
      <c r="BK9" s="171" t="s">
        <v>19</v>
      </c>
      <c r="BL9" s="171"/>
      <c r="BM9" s="171"/>
      <c r="BN9" s="171" t="s">
        <v>20</v>
      </c>
      <c r="BO9" s="171"/>
      <c r="BP9" s="171"/>
      <c r="BQ9" s="171" t="s">
        <v>19</v>
      </c>
      <c r="BR9" s="171"/>
      <c r="BS9" s="171"/>
      <c r="BT9" s="171" t="s">
        <v>20</v>
      </c>
      <c r="BU9" s="171"/>
      <c r="BV9" s="171"/>
      <c r="BW9" s="171" t="s">
        <v>19</v>
      </c>
      <c r="BX9" s="171"/>
      <c r="BY9" s="171"/>
      <c r="BZ9" s="171" t="s">
        <v>20</v>
      </c>
      <c r="CA9" s="171"/>
      <c r="CB9" s="171"/>
    </row>
    <row r="10" spans="1:80" ht="21" x14ac:dyDescent="0.2">
      <c r="A10" s="114" t="s">
        <v>21</v>
      </c>
      <c r="B10" s="115" t="s">
        <v>22</v>
      </c>
      <c r="C10" s="116" t="s">
        <v>23</v>
      </c>
      <c r="D10" s="116" t="s">
        <v>24</v>
      </c>
      <c r="E10" s="116" t="s">
        <v>25</v>
      </c>
      <c r="F10" s="117" t="s">
        <v>23</v>
      </c>
      <c r="G10" s="117" t="s">
        <v>24</v>
      </c>
      <c r="H10" s="117" t="s">
        <v>25</v>
      </c>
      <c r="I10" s="116" t="s">
        <v>23</v>
      </c>
      <c r="J10" s="116" t="s">
        <v>24</v>
      </c>
      <c r="K10" s="116" t="s">
        <v>25</v>
      </c>
      <c r="L10" s="117" t="s">
        <v>23</v>
      </c>
      <c r="M10" s="117" t="s">
        <v>24</v>
      </c>
      <c r="N10" s="117" t="s">
        <v>25</v>
      </c>
      <c r="O10" s="116" t="s">
        <v>23</v>
      </c>
      <c r="P10" s="116" t="s">
        <v>24</v>
      </c>
      <c r="Q10" s="116" t="s">
        <v>25</v>
      </c>
      <c r="R10" s="117" t="s">
        <v>23</v>
      </c>
      <c r="S10" s="117" t="s">
        <v>24</v>
      </c>
      <c r="T10" s="117" t="s">
        <v>25</v>
      </c>
      <c r="U10" s="116" t="s">
        <v>23</v>
      </c>
      <c r="V10" s="116" t="s">
        <v>24</v>
      </c>
      <c r="W10" s="116" t="s">
        <v>25</v>
      </c>
      <c r="X10" s="117" t="s">
        <v>23</v>
      </c>
      <c r="Y10" s="117" t="s">
        <v>24</v>
      </c>
      <c r="Z10" s="117" t="s">
        <v>25</v>
      </c>
      <c r="AA10" s="116" t="s">
        <v>23</v>
      </c>
      <c r="AB10" s="116" t="s">
        <v>24</v>
      </c>
      <c r="AC10" s="116" t="s">
        <v>25</v>
      </c>
      <c r="AD10" s="117" t="s">
        <v>23</v>
      </c>
      <c r="AE10" s="117" t="s">
        <v>24</v>
      </c>
      <c r="AF10" s="117" t="s">
        <v>25</v>
      </c>
      <c r="AG10" s="116" t="s">
        <v>23</v>
      </c>
      <c r="AH10" s="116" t="s">
        <v>24</v>
      </c>
      <c r="AI10" s="116" t="s">
        <v>25</v>
      </c>
      <c r="AJ10" s="117" t="s">
        <v>23</v>
      </c>
      <c r="AK10" s="117" t="s">
        <v>24</v>
      </c>
      <c r="AL10" s="117" t="s">
        <v>25</v>
      </c>
      <c r="AM10" s="116" t="s">
        <v>23</v>
      </c>
      <c r="AN10" s="116" t="s">
        <v>24</v>
      </c>
      <c r="AO10" s="116" t="s">
        <v>25</v>
      </c>
      <c r="AP10" s="117" t="s">
        <v>23</v>
      </c>
      <c r="AQ10" s="117" t="s">
        <v>24</v>
      </c>
      <c r="AR10" s="117" t="s">
        <v>25</v>
      </c>
      <c r="AS10" s="116" t="s">
        <v>23</v>
      </c>
      <c r="AT10" s="116" t="s">
        <v>24</v>
      </c>
      <c r="AU10" s="116" t="s">
        <v>25</v>
      </c>
      <c r="AV10" s="117" t="s">
        <v>23</v>
      </c>
      <c r="AW10" s="117" t="s">
        <v>24</v>
      </c>
      <c r="AX10" s="117" t="s">
        <v>25</v>
      </c>
      <c r="AY10" s="116" t="s">
        <v>23</v>
      </c>
      <c r="AZ10" s="116" t="s">
        <v>24</v>
      </c>
      <c r="BA10" s="116" t="s">
        <v>25</v>
      </c>
      <c r="BB10" s="117" t="s">
        <v>23</v>
      </c>
      <c r="BC10" s="117" t="s">
        <v>24</v>
      </c>
      <c r="BD10" s="117" t="s">
        <v>25</v>
      </c>
      <c r="BE10" s="116" t="s">
        <v>23</v>
      </c>
      <c r="BF10" s="116" t="s">
        <v>24</v>
      </c>
      <c r="BG10" s="116" t="s">
        <v>25</v>
      </c>
      <c r="BH10" s="117" t="s">
        <v>23</v>
      </c>
      <c r="BI10" s="117" t="s">
        <v>24</v>
      </c>
      <c r="BJ10" s="117" t="s">
        <v>25</v>
      </c>
      <c r="BK10" s="116" t="s">
        <v>23</v>
      </c>
      <c r="BL10" s="116" t="s">
        <v>24</v>
      </c>
      <c r="BM10" s="116" t="s">
        <v>25</v>
      </c>
      <c r="BN10" s="117" t="s">
        <v>23</v>
      </c>
      <c r="BO10" s="117" t="s">
        <v>24</v>
      </c>
      <c r="BP10" s="117" t="s">
        <v>25</v>
      </c>
      <c r="BQ10" s="116" t="s">
        <v>23</v>
      </c>
      <c r="BR10" s="116" t="s">
        <v>24</v>
      </c>
      <c r="BS10" s="116" t="s">
        <v>25</v>
      </c>
      <c r="BT10" s="117" t="s">
        <v>23</v>
      </c>
      <c r="BU10" s="117" t="s">
        <v>24</v>
      </c>
      <c r="BV10" s="117" t="s">
        <v>25</v>
      </c>
      <c r="BW10" s="116" t="s">
        <v>23</v>
      </c>
      <c r="BX10" s="116" t="s">
        <v>24</v>
      </c>
      <c r="BY10" s="116" t="s">
        <v>25</v>
      </c>
      <c r="BZ10" s="117" t="s">
        <v>23</v>
      </c>
      <c r="CA10" s="117" t="s">
        <v>24</v>
      </c>
      <c r="CB10" s="117" t="s">
        <v>25</v>
      </c>
    </row>
    <row r="11" spans="1:80" ht="15" x14ac:dyDescent="0.2">
      <c r="A11" s="118" t="s">
        <v>26</v>
      </c>
      <c r="B11" s="118"/>
      <c r="C11" s="119"/>
      <c r="D11" s="119"/>
      <c r="E11" s="119"/>
      <c r="F11" s="120"/>
      <c r="G11" s="120"/>
      <c r="H11" s="120"/>
      <c r="I11" s="119"/>
      <c r="J11" s="119"/>
      <c r="K11" s="119"/>
      <c r="L11" s="120"/>
      <c r="M11" s="120"/>
      <c r="N11" s="120"/>
      <c r="O11" s="119"/>
      <c r="P11" s="119"/>
      <c r="Q11" s="119"/>
      <c r="R11" s="120"/>
      <c r="S11" s="120"/>
      <c r="T11" s="120"/>
      <c r="U11" s="119"/>
      <c r="V11" s="119"/>
      <c r="W11" s="119"/>
      <c r="X11" s="120"/>
      <c r="Y11" s="120"/>
      <c r="Z11" s="120"/>
      <c r="AA11" s="119"/>
      <c r="AB11" s="119"/>
      <c r="AC11" s="119"/>
      <c r="AD11" s="120"/>
      <c r="AE11" s="120"/>
      <c r="AF11" s="120"/>
      <c r="AG11" s="119"/>
      <c r="AH11" s="119"/>
      <c r="AI11" s="119"/>
      <c r="AJ11" s="120"/>
      <c r="AK11" s="120"/>
      <c r="AL11" s="120"/>
      <c r="AM11" s="119"/>
      <c r="AN11" s="119"/>
      <c r="AO11" s="119"/>
      <c r="AP11" s="120"/>
      <c r="AQ11" s="120"/>
      <c r="AR11" s="120"/>
      <c r="AS11" s="119"/>
      <c r="AT11" s="119"/>
      <c r="AU11" s="119"/>
      <c r="AV11" s="120"/>
      <c r="AW11" s="120"/>
      <c r="AX11" s="120"/>
      <c r="AY11" s="119"/>
      <c r="AZ11" s="119"/>
      <c r="BA11" s="119"/>
      <c r="BB11" s="120"/>
      <c r="BC11" s="120"/>
      <c r="BD11" s="120"/>
      <c r="BE11" s="120"/>
      <c r="BF11" s="120"/>
      <c r="BG11" s="119"/>
      <c r="BH11" s="120"/>
      <c r="BI11" s="120"/>
      <c r="BJ11" s="120"/>
      <c r="BK11" s="119"/>
      <c r="BL11" s="119"/>
      <c r="BM11" s="119"/>
      <c r="BN11" s="120"/>
      <c r="BO11" s="120"/>
      <c r="BP11" s="120"/>
      <c r="BQ11" s="119"/>
      <c r="BR11" s="119"/>
      <c r="BS11" s="119"/>
      <c r="BT11" s="120"/>
      <c r="BU11" s="120"/>
      <c r="BV11" s="120"/>
      <c r="BW11" s="119"/>
      <c r="BX11" s="119"/>
      <c r="BY11" s="119"/>
      <c r="BZ11" s="120"/>
      <c r="CA11" s="120"/>
      <c r="CB11" s="120"/>
    </row>
    <row r="12" spans="1:80" x14ac:dyDescent="0.2">
      <c r="A12" s="121">
        <v>111</v>
      </c>
      <c r="B12" s="122" t="s">
        <v>27</v>
      </c>
      <c r="C12" s="123">
        <f>'[5]ПП ВДГ'!C12+'[5]Корсак Л.Р.'!C12+'[5]Корсак В.І.'!C12+[5]Конякіна!C12</f>
        <v>0</v>
      </c>
      <c r="D12" s="123">
        <f>'[5]ПП ВДГ'!D12+'[5]Корсак Л.Р.'!D12+'[5]Корсак В.І.'!D12+[5]Конякіна!D12</f>
        <v>0</v>
      </c>
      <c r="E12" s="123">
        <f t="shared" ref="E12:E29" si="0">SUM(C12:D12)</f>
        <v>0</v>
      </c>
      <c r="F12" s="128">
        <f>'Солар Вест'!F12+Будник!F12</f>
        <v>0</v>
      </c>
      <c r="G12" s="128">
        <f>'Солар Вест'!G12+Будник!G12</f>
        <v>0</v>
      </c>
      <c r="H12" s="124">
        <f t="shared" ref="H12:H29" si="1">SUM(F12:G12)</f>
        <v>0</v>
      </c>
      <c r="I12" s="123">
        <f>'[5]ПП ВДГ'!I12+'[5]Корсак Л.Р.'!I12+'[5]Корсак В.І.'!I12+[5]Конякіна!I12</f>
        <v>0</v>
      </c>
      <c r="J12" s="123">
        <f>'[5]ПП ВДГ'!J12+'[5]Корсак Л.Р.'!J12+'[5]Корсак В.І.'!J12+[5]Конякіна!J12</f>
        <v>0</v>
      </c>
      <c r="K12" s="123">
        <f t="shared" ref="K12:K29" si="2">SUM(I12:J12)</f>
        <v>0</v>
      </c>
      <c r="L12" s="128">
        <f>'Солар Вест'!L12+Будник!L12</f>
        <v>0</v>
      </c>
      <c r="M12" s="128">
        <f>'Солар Вест'!M12+Будник!M12</f>
        <v>0</v>
      </c>
      <c r="N12" s="124">
        <f t="shared" ref="N12:N29" si="3">SUM(L12:M12)</f>
        <v>0</v>
      </c>
      <c r="O12" s="123">
        <f>'[5]ПП ВДГ'!O12+'[5]Корсак Л.Р.'!O12+'[5]Корсак В.І.'!O12+[5]Конякіна!O12</f>
        <v>0</v>
      </c>
      <c r="P12" s="123">
        <f>'[5]ПП ВДГ'!P12+'[5]Корсак Л.Р.'!P12+'[5]Корсак В.І.'!P12+[5]Конякіна!P12</f>
        <v>0</v>
      </c>
      <c r="Q12" s="123">
        <f t="shared" ref="Q12:Q29" si="4">SUM(O12:P12)</f>
        <v>0</v>
      </c>
      <c r="R12" s="128">
        <f>'Солар Вест'!R12+Будник!R12</f>
        <v>0</v>
      </c>
      <c r="S12" s="128">
        <f>'Солар Вест'!S12+Будник!S12</f>
        <v>0</v>
      </c>
      <c r="T12" s="124">
        <f t="shared" ref="T12:T29" si="5">SUM(R12:S12)</f>
        <v>0</v>
      </c>
      <c r="U12" s="123">
        <f>'[5]ПП ВДГ'!U12+'[5]Корсак Л.Р.'!U12+'[5]Корсак В.І.'!U12+[5]Конякіна!U12</f>
        <v>0</v>
      </c>
      <c r="V12" s="123">
        <f>'[5]ПП ВДГ'!V12+'[5]Корсак Л.Р.'!V12+'[5]Корсак В.І.'!V12+[5]Конякіна!V12</f>
        <v>0</v>
      </c>
      <c r="W12" s="123">
        <f t="shared" ref="W12:W29" si="6">SUM(U12:V12)</f>
        <v>0</v>
      </c>
      <c r="X12" s="128">
        <f>'Солар Вест'!X12+Будник!X12</f>
        <v>0</v>
      </c>
      <c r="Y12" s="128">
        <f>'Солар Вест'!Y12+Будник!Y12</f>
        <v>0</v>
      </c>
      <c r="Z12" s="124">
        <f t="shared" ref="Z12:Z29" si="7">SUM(X12:Y12)</f>
        <v>0</v>
      </c>
      <c r="AA12" s="123">
        <f>'[5]ПП ВДГ'!AA12+'[5]Корсак Л.Р.'!AA12+'[5]Корсак В.І.'!AA12+[5]Конякіна!AA12</f>
        <v>0</v>
      </c>
      <c r="AB12" s="123">
        <f>'[5]ПП ВДГ'!AB12+'[5]Корсак Л.Р.'!AB12+'[5]Корсак В.І.'!AB12+[5]Конякіна!AB12</f>
        <v>0</v>
      </c>
      <c r="AC12" s="123">
        <f t="shared" ref="AC12:AC29" si="8">SUM(AA12:AB12)</f>
        <v>0</v>
      </c>
      <c r="AD12" s="128">
        <f>'Солар Вест'!AD12+Будник!AD12</f>
        <v>0</v>
      </c>
      <c r="AE12" s="128">
        <f>'Солар Вест'!AE12+Будник!AE12</f>
        <v>0</v>
      </c>
      <c r="AF12" s="124">
        <f t="shared" ref="AF12:AF29" si="9">SUM(AD12:AE12)</f>
        <v>0</v>
      </c>
      <c r="AG12" s="123">
        <f>'[5]ПП ВДГ'!AG12+'[5]Корсак Л.Р.'!AG12+'[5]Корсак В.І.'!AG12+[5]Конякіна!AG12</f>
        <v>0</v>
      </c>
      <c r="AH12" s="123">
        <f>'[5]ПП ВДГ'!AH12+'[5]Корсак Л.Р.'!AH12+'[5]Корсак В.І.'!AH12+[5]Конякіна!AH12</f>
        <v>0</v>
      </c>
      <c r="AI12" s="123">
        <f t="shared" ref="AI12:AI29" si="10">SUM(AG12:AH12)</f>
        <v>0</v>
      </c>
      <c r="AJ12" s="128">
        <f>'Солар Вест'!AJ12+Будник!AJ12</f>
        <v>0</v>
      </c>
      <c r="AK12" s="128">
        <f>'Солар Вест'!AK12+Будник!AK12</f>
        <v>0</v>
      </c>
      <c r="AL12" s="124">
        <f t="shared" ref="AL12:AL29" si="11">SUM(AJ12:AK12)</f>
        <v>0</v>
      </c>
      <c r="AM12" s="123">
        <f>'[5]ПП ВДГ'!AM12+'[5]Корсак Л.Р.'!AM12+'[5]Корсак В.І.'!AM12+[5]Конякіна!AM12</f>
        <v>0</v>
      </c>
      <c r="AN12" s="123">
        <f>'[5]ПП ВДГ'!AN12+'[5]Корсак Л.Р.'!AN12+'[5]Корсак В.І.'!AN12+[5]Конякіна!AN12</f>
        <v>0</v>
      </c>
      <c r="AO12" s="123">
        <f t="shared" ref="AO12:AO29" si="12">SUM(AM12:AN12)</f>
        <v>0</v>
      </c>
      <c r="AP12" s="128">
        <f>'Солар Вест'!AP12+Будник!AP12</f>
        <v>0</v>
      </c>
      <c r="AQ12" s="128">
        <f>'Солар Вест'!AQ12+Будник!AQ12</f>
        <v>0</v>
      </c>
      <c r="AR12" s="124">
        <f t="shared" ref="AR12:AR29" si="13">SUM(AP12:AQ12)</f>
        <v>0</v>
      </c>
      <c r="AS12" s="123">
        <f>'[5]ПП ВДГ'!AS12+'[5]Корсак Л.Р.'!AS12+'[5]Корсак В.І.'!AS12+[5]Конякіна!AS12</f>
        <v>0</v>
      </c>
      <c r="AT12" s="123">
        <f>'[5]ПП ВДГ'!AT12+'[5]Корсак Л.Р.'!AT12+'[5]Корсак В.І.'!AT12+[5]Конякіна!AT12</f>
        <v>0</v>
      </c>
      <c r="AU12" s="123">
        <f t="shared" ref="AU12:AU29" si="14">SUM(AS12:AT12)</f>
        <v>0</v>
      </c>
      <c r="AV12" s="128">
        <f>'Солар Вест'!AV12+Будник!AV12</f>
        <v>0</v>
      </c>
      <c r="AW12" s="128">
        <f>'Солар Вест'!AW12+Будник!AW12</f>
        <v>0</v>
      </c>
      <c r="AX12" s="124">
        <f t="shared" ref="AX12:AX29" si="15">SUM(AV12:AW12)</f>
        <v>0</v>
      </c>
      <c r="AY12" s="123">
        <f>'[5]ПП ВДГ'!AY12+'[5]Корсак Л.Р.'!AY12+'[5]Корсак В.І.'!AY12+[5]Конякіна!AY12</f>
        <v>0</v>
      </c>
      <c r="AZ12" s="123">
        <f>'[5]ПП ВДГ'!AZ12+'[5]Корсак Л.Р.'!AZ12+'[5]Корсак В.І.'!AZ12+[5]Конякіна!AZ12</f>
        <v>0</v>
      </c>
      <c r="BA12" s="123">
        <f t="shared" ref="BA12:BA29" si="16">SUM(AY12:AZ12)</f>
        <v>0</v>
      </c>
      <c r="BB12" s="128">
        <f>'Солар Вест'!BB12+Будник!BB12</f>
        <v>0</v>
      </c>
      <c r="BC12" s="128">
        <f>'Солар Вест'!BC12+Будник!BC12</f>
        <v>0</v>
      </c>
      <c r="BD12" s="124">
        <f t="shared" ref="BD12:BD29" si="17">SUM(BB12:BC12)</f>
        <v>0</v>
      </c>
      <c r="BE12" s="128">
        <f>'Солар Вест'!BE12+Будник!BE12</f>
        <v>0</v>
      </c>
      <c r="BF12" s="128">
        <f>'Солар Вест'!BF12+Будник!BF12</f>
        <v>0</v>
      </c>
      <c r="BG12" s="123">
        <f t="shared" ref="BG12:BG29" si="18">SUM(BE12:BF12)</f>
        <v>0</v>
      </c>
      <c r="BH12" s="128">
        <f>'Солар Вест'!BH12+Будник!BH12</f>
        <v>0</v>
      </c>
      <c r="BI12" s="128">
        <f>'Солар Вест'!BI12+Будник!BI12</f>
        <v>0</v>
      </c>
      <c r="BJ12" s="124">
        <f t="shared" ref="BJ12:BJ29" si="19">SUM(BH12:BI12)</f>
        <v>0</v>
      </c>
      <c r="BK12" s="123">
        <f>'[5]ПП ВДГ'!BK12+'[5]Корсак Л.Р.'!BK12+'[5]Корсак В.І.'!BK12+[5]Конякіна!BK12</f>
        <v>0</v>
      </c>
      <c r="BL12" s="123">
        <f>'[5]ПП ВДГ'!BL12+'[5]Корсак Л.Р.'!BL12+'[5]Корсак В.І.'!BL12+[5]Конякіна!BL12</f>
        <v>0</v>
      </c>
      <c r="BM12" s="123">
        <f t="shared" ref="BM12:BM29" si="20">SUM(BK12:BL12)</f>
        <v>0</v>
      </c>
      <c r="BN12" s="128">
        <f>'Солар Вест'!BN12+Будник!BN12</f>
        <v>0</v>
      </c>
      <c r="BO12" s="128">
        <f>'Солар Вест'!BO12+Будник!BO12</f>
        <v>0</v>
      </c>
      <c r="BP12" s="124">
        <f t="shared" ref="BP12:BP29" si="21">SUM(BN12:BO12)</f>
        <v>0</v>
      </c>
      <c r="BQ12" s="123">
        <f>'[5]ПП ВДГ'!BQ12+'[5]Корсак Л.Р.'!BQ12+'[5]Корсак В.І.'!BQ12+[5]Конякіна!BQ12</f>
        <v>0</v>
      </c>
      <c r="BR12" s="123">
        <f>'[5]ПП ВДГ'!BR12+'[5]Корсак Л.Р.'!BR12+'[5]Корсак В.І.'!BR12+[5]Конякіна!BR12</f>
        <v>0</v>
      </c>
      <c r="BS12" s="123">
        <f t="shared" ref="BS12:BS29" si="22">SUM(BQ12:BR12)</f>
        <v>0</v>
      </c>
      <c r="BT12" s="128">
        <f>'Солар Вест'!BT12+Будник!BT12</f>
        <v>0</v>
      </c>
      <c r="BU12" s="128">
        <f>'Солар Вест'!BU12+Будник!BU12</f>
        <v>0</v>
      </c>
      <c r="BV12" s="124">
        <f t="shared" ref="BV12:BV29" si="23">SUM(BT12:BU12)</f>
        <v>0</v>
      </c>
      <c r="BW12" s="123">
        <f t="shared" ref="BW12:BX29" si="24">+C12+I12+O12+AA12+AG12+U12+AM12+AS12+AY12+BE12+BK12+BQ12</f>
        <v>0</v>
      </c>
      <c r="BX12" s="123">
        <f t="shared" si="24"/>
        <v>0</v>
      </c>
      <c r="BY12" s="123">
        <f t="shared" ref="BY12:BY29" si="25">SUM(BW12:BX12)</f>
        <v>0</v>
      </c>
      <c r="BZ12" s="123">
        <f t="shared" ref="BZ12:CA29" si="26">+F12+L12+R12+AD12+AJ12+X12+AP12+AV12+BB12+BH12+BN12+BT12</f>
        <v>0</v>
      </c>
      <c r="CA12" s="123">
        <f t="shared" si="26"/>
        <v>0</v>
      </c>
      <c r="CB12" s="124">
        <f t="shared" ref="CB12:CB29" si="27">SUM(BZ12:CA12)</f>
        <v>0</v>
      </c>
    </row>
    <row r="13" spans="1:80" ht="25.5" x14ac:dyDescent="0.2">
      <c r="A13" s="121"/>
      <c r="B13" s="125" t="s">
        <v>28</v>
      </c>
      <c r="C13" s="126">
        <f>'[5]ПП ВДГ'!C13+'[5]Корсак Л.Р.'!C13+'[5]Корсак В.І.'!C13+[5]Конякіна!C13</f>
        <v>0</v>
      </c>
      <c r="D13" s="126">
        <f>'[5]ПП ВДГ'!D13+'[5]Корсак Л.Р.'!D13+'[5]Корсак В.І.'!D13+[5]Конякіна!D13</f>
        <v>0</v>
      </c>
      <c r="E13" s="126">
        <f t="shared" si="0"/>
        <v>0</v>
      </c>
      <c r="F13" s="126">
        <f>'Солар Вест'!F13+Будник!F13</f>
        <v>0</v>
      </c>
      <c r="G13" s="126">
        <f>'Солар Вест'!G13+Будник!G13</f>
        <v>0</v>
      </c>
      <c r="H13" s="124">
        <f t="shared" si="1"/>
        <v>0</v>
      </c>
      <c r="I13" s="126">
        <f>'[5]ПП ВДГ'!I13+'[5]Корсак Л.Р.'!I13+'[5]Корсак В.І.'!I13+[5]Конякіна!I13</f>
        <v>0</v>
      </c>
      <c r="J13" s="126">
        <f>'[5]ПП ВДГ'!J13+'[5]Корсак Л.Р.'!J13+'[5]Корсак В.І.'!J13+[5]Конякіна!J13</f>
        <v>0</v>
      </c>
      <c r="K13" s="126">
        <f t="shared" si="2"/>
        <v>0</v>
      </c>
      <c r="L13" s="126">
        <f>'Солар Вест'!L13+Будник!L13</f>
        <v>0</v>
      </c>
      <c r="M13" s="126">
        <f>'Солар Вест'!M13+Будник!M13</f>
        <v>0</v>
      </c>
      <c r="N13" s="124">
        <f t="shared" si="3"/>
        <v>0</v>
      </c>
      <c r="O13" s="126">
        <f>'[5]ПП ВДГ'!O13+'[5]Корсак Л.Р.'!O13+'[5]Корсак В.І.'!O13+[5]Конякіна!O13</f>
        <v>0</v>
      </c>
      <c r="P13" s="126">
        <f>'[5]ПП ВДГ'!P13+'[5]Корсак Л.Р.'!P13+'[5]Корсак В.І.'!P13+[5]Конякіна!P13</f>
        <v>0</v>
      </c>
      <c r="Q13" s="126">
        <f t="shared" si="4"/>
        <v>0</v>
      </c>
      <c r="R13" s="126">
        <f>'Солар Вест'!R13+Будник!R13</f>
        <v>0</v>
      </c>
      <c r="S13" s="126">
        <f>'Солар Вест'!S13+Будник!S13</f>
        <v>0</v>
      </c>
      <c r="T13" s="124">
        <f t="shared" si="5"/>
        <v>0</v>
      </c>
      <c r="U13" s="126">
        <f>'[5]ПП ВДГ'!U13+'[5]Корсак Л.Р.'!U13+'[5]Корсак В.І.'!U13+[5]Конякіна!U13</f>
        <v>0</v>
      </c>
      <c r="V13" s="126">
        <f>'[5]ПП ВДГ'!V13+'[5]Корсак Л.Р.'!V13+'[5]Корсак В.І.'!V13+[5]Конякіна!V13</f>
        <v>0</v>
      </c>
      <c r="W13" s="126">
        <f t="shared" si="6"/>
        <v>0</v>
      </c>
      <c r="X13" s="126">
        <f>'Солар Вест'!X13+Будник!X13</f>
        <v>0</v>
      </c>
      <c r="Y13" s="126">
        <f>'Солар Вест'!Y13+Будник!Y13</f>
        <v>0</v>
      </c>
      <c r="Z13" s="124">
        <f t="shared" si="7"/>
        <v>0</v>
      </c>
      <c r="AA13" s="126">
        <f>'[5]ПП ВДГ'!AA13+'[5]Корсак Л.Р.'!AA13+'[5]Корсак В.І.'!AA13+[5]Конякіна!AA13</f>
        <v>0</v>
      </c>
      <c r="AB13" s="126">
        <f>'[5]ПП ВДГ'!AB13+'[5]Корсак Л.Р.'!AB13+'[5]Корсак В.І.'!AB13+[5]Конякіна!AB13</f>
        <v>0</v>
      </c>
      <c r="AC13" s="126">
        <f t="shared" si="8"/>
        <v>0</v>
      </c>
      <c r="AD13" s="126">
        <f>'Солар Вест'!AD13+Будник!AD13</f>
        <v>0</v>
      </c>
      <c r="AE13" s="126">
        <f>'Солар Вест'!AE13+Будник!AE13</f>
        <v>0</v>
      </c>
      <c r="AF13" s="124">
        <f t="shared" si="9"/>
        <v>0</v>
      </c>
      <c r="AG13" s="126">
        <f>'[5]ПП ВДГ'!AG13+'[5]Корсак Л.Р.'!AG13+'[5]Корсак В.І.'!AG13+[5]Конякіна!AG13</f>
        <v>0</v>
      </c>
      <c r="AH13" s="126">
        <f>'[5]ПП ВДГ'!AH13+'[5]Корсак Л.Р.'!AH13+'[5]Корсак В.І.'!AH13+[5]Конякіна!AH13</f>
        <v>0</v>
      </c>
      <c r="AI13" s="126">
        <f t="shared" si="10"/>
        <v>0</v>
      </c>
      <c r="AJ13" s="126">
        <f>'Солар Вест'!AJ13+Будник!AJ13</f>
        <v>0</v>
      </c>
      <c r="AK13" s="126">
        <f>'Солар Вест'!AK13+Будник!AK13</f>
        <v>0</v>
      </c>
      <c r="AL13" s="124">
        <f t="shared" si="11"/>
        <v>0</v>
      </c>
      <c r="AM13" s="126">
        <f>'[5]ПП ВДГ'!AM13+'[5]Корсак Л.Р.'!AM13+'[5]Корсак В.І.'!AM13+[5]Конякіна!AM13</f>
        <v>0</v>
      </c>
      <c r="AN13" s="126">
        <f>'[5]ПП ВДГ'!AN13+'[5]Корсак Л.Р.'!AN13+'[5]Корсак В.І.'!AN13+[5]Конякіна!AN13</f>
        <v>0</v>
      </c>
      <c r="AO13" s="126">
        <f t="shared" si="12"/>
        <v>0</v>
      </c>
      <c r="AP13" s="126">
        <f>'Солар Вест'!AP13+Будник!AP13</f>
        <v>0</v>
      </c>
      <c r="AQ13" s="126">
        <f>'Солар Вест'!AQ13+Будник!AQ13</f>
        <v>0</v>
      </c>
      <c r="AR13" s="124">
        <f t="shared" si="13"/>
        <v>0</v>
      </c>
      <c r="AS13" s="126">
        <f>'[5]ПП ВДГ'!AS13+'[5]Корсак Л.Р.'!AS13+'[5]Корсак В.І.'!AS13+[5]Конякіна!AS13</f>
        <v>0</v>
      </c>
      <c r="AT13" s="126">
        <f>'[5]ПП ВДГ'!AT13+'[5]Корсак Л.Р.'!AT13+'[5]Корсак В.І.'!AT13+[5]Конякіна!AT13</f>
        <v>0</v>
      </c>
      <c r="AU13" s="126">
        <f t="shared" si="14"/>
        <v>0</v>
      </c>
      <c r="AV13" s="126">
        <f>'Солар Вест'!AV13+Будник!AV13</f>
        <v>0</v>
      </c>
      <c r="AW13" s="126">
        <f>'Солар Вест'!AW13+Будник!AW13</f>
        <v>0</v>
      </c>
      <c r="AX13" s="124">
        <f t="shared" si="15"/>
        <v>0</v>
      </c>
      <c r="AY13" s="126">
        <f>'[5]ПП ВДГ'!AY13+'[5]Корсак Л.Р.'!AY13+'[5]Корсак В.І.'!AY13+[5]Конякіна!AY13</f>
        <v>0</v>
      </c>
      <c r="AZ13" s="126">
        <f>'[5]ПП ВДГ'!AZ13+'[5]Корсак Л.Р.'!AZ13+'[5]Корсак В.І.'!AZ13+[5]Конякіна!AZ13</f>
        <v>0</v>
      </c>
      <c r="BA13" s="126">
        <f t="shared" si="16"/>
        <v>0</v>
      </c>
      <c r="BB13" s="126">
        <f>'Солар Вест'!BB13+Будник!BB13</f>
        <v>0</v>
      </c>
      <c r="BC13" s="126">
        <f>'Солар Вест'!BC13+Будник!BC13</f>
        <v>0</v>
      </c>
      <c r="BD13" s="124">
        <f t="shared" si="17"/>
        <v>0</v>
      </c>
      <c r="BE13" s="126">
        <f>'Солар Вест'!BE13+Будник!BE13</f>
        <v>0</v>
      </c>
      <c r="BF13" s="126">
        <f>'Солар Вест'!BF13+Будник!BF13</f>
        <v>0</v>
      </c>
      <c r="BG13" s="126">
        <f t="shared" si="18"/>
        <v>0</v>
      </c>
      <c r="BH13" s="126">
        <f>'Солар Вест'!BH13+Будник!BH13</f>
        <v>0</v>
      </c>
      <c r="BI13" s="126">
        <f>'Солар Вест'!BI13+Будник!BI13</f>
        <v>0</v>
      </c>
      <c r="BJ13" s="124">
        <f t="shared" si="19"/>
        <v>0</v>
      </c>
      <c r="BK13" s="126">
        <f>'[5]ПП ВДГ'!BK13+'[5]Корсак Л.Р.'!BK13+'[5]Корсак В.І.'!BK13+[5]Конякіна!BK13</f>
        <v>0</v>
      </c>
      <c r="BL13" s="126">
        <f>'[5]ПП ВДГ'!BL13+'[5]Корсак Л.Р.'!BL13+'[5]Корсак В.І.'!BL13+[5]Конякіна!BL13</f>
        <v>0</v>
      </c>
      <c r="BM13" s="126">
        <f t="shared" si="20"/>
        <v>0</v>
      </c>
      <c r="BN13" s="126">
        <f>'Солар Вест'!BN13+Будник!BN13</f>
        <v>0</v>
      </c>
      <c r="BO13" s="126">
        <f>'Солар Вест'!BO13+Будник!BO13</f>
        <v>0</v>
      </c>
      <c r="BP13" s="124">
        <f t="shared" si="21"/>
        <v>0</v>
      </c>
      <c r="BQ13" s="126">
        <f>'[5]ПП ВДГ'!BQ13+'[5]Корсак Л.Р.'!BQ13+'[5]Корсак В.І.'!BQ13+[5]Конякіна!BQ13</f>
        <v>0</v>
      </c>
      <c r="BR13" s="126">
        <f>'[5]ПП ВДГ'!BR13+'[5]Корсак Л.Р.'!BR13+'[5]Корсак В.І.'!BR13+[5]Конякіна!BR13</f>
        <v>0</v>
      </c>
      <c r="BS13" s="126">
        <f t="shared" si="22"/>
        <v>0</v>
      </c>
      <c r="BT13" s="126">
        <f>'Солар Вест'!BT13+Будник!BT13</f>
        <v>0</v>
      </c>
      <c r="BU13" s="126">
        <f>'Солар Вест'!BU13+Будник!BU13</f>
        <v>0</v>
      </c>
      <c r="BV13" s="124">
        <f t="shared" si="23"/>
        <v>0</v>
      </c>
      <c r="BW13" s="126">
        <f t="shared" si="24"/>
        <v>0</v>
      </c>
      <c r="BX13" s="126">
        <f t="shared" si="24"/>
        <v>0</v>
      </c>
      <c r="BY13" s="126">
        <f t="shared" si="25"/>
        <v>0</v>
      </c>
      <c r="BZ13" s="126">
        <f t="shared" si="26"/>
        <v>0</v>
      </c>
      <c r="CA13" s="126">
        <f t="shared" si="26"/>
        <v>0</v>
      </c>
      <c r="CB13" s="124">
        <f t="shared" si="27"/>
        <v>0</v>
      </c>
    </row>
    <row r="14" spans="1:80" x14ac:dyDescent="0.2">
      <c r="A14" s="121">
        <v>112</v>
      </c>
      <c r="B14" s="122" t="s">
        <v>29</v>
      </c>
      <c r="C14" s="123">
        <f>'[5]ПП ВДГ'!C14+'[5]Корсак Л.Р.'!C14+'[5]Корсак В.І.'!C14+[5]Конякіна!C14</f>
        <v>0</v>
      </c>
      <c r="D14" s="123">
        <f>'[5]ПП ВДГ'!D14+'[5]Корсак Л.Р.'!D14+'[5]Корсак В.І.'!D14+[5]Конякіна!D14</f>
        <v>0</v>
      </c>
      <c r="E14" s="127">
        <f t="shared" si="0"/>
        <v>0</v>
      </c>
      <c r="F14" s="128">
        <f>'Солар Вест'!F14+Будник!F14</f>
        <v>125791.1</v>
      </c>
      <c r="G14" s="128">
        <f>'Солар Вест'!G14+Будник!G14</f>
        <v>2810</v>
      </c>
      <c r="H14" s="128">
        <f t="shared" si="1"/>
        <v>128601.1</v>
      </c>
      <c r="I14" s="123">
        <f>'[5]ПП ВДГ'!I14+'[5]Корсак Л.Р.'!I14+'[5]Корсак В.І.'!I14+[5]Конякіна!I14</f>
        <v>0</v>
      </c>
      <c r="J14" s="123">
        <f>'[5]ПП ВДГ'!J14+'[5]Корсак Л.Р.'!J14+'[5]Корсак В.І.'!J14+[5]Конякіна!J14</f>
        <v>0</v>
      </c>
      <c r="K14" s="127">
        <f t="shared" si="2"/>
        <v>0</v>
      </c>
      <c r="L14" s="128">
        <f>'Солар Вест'!L14+Будник!L14</f>
        <v>157034.6</v>
      </c>
      <c r="M14" s="128">
        <f>'Солар Вест'!M14+Будник!M14</f>
        <v>3300</v>
      </c>
      <c r="N14" s="128">
        <f t="shared" si="3"/>
        <v>160334.6</v>
      </c>
      <c r="O14" s="123">
        <f>'[5]ПП ВДГ'!O14+'[5]Корсак Л.Р.'!O14+'[5]Корсак В.І.'!O14+[5]Конякіна!O14</f>
        <v>0</v>
      </c>
      <c r="P14" s="123">
        <f>'[5]ПП ВДГ'!P14+'[5]Корсак Л.Р.'!P14+'[5]Корсак В.І.'!P14+[5]Конякіна!P14</f>
        <v>0</v>
      </c>
      <c r="Q14" s="127">
        <f t="shared" si="4"/>
        <v>0</v>
      </c>
      <c r="R14" s="128">
        <f>'Солар Вест'!R14+Будник!R14</f>
        <v>2086265.55</v>
      </c>
      <c r="S14" s="128">
        <f>'Солар Вест'!S14+Будник!S14</f>
        <v>79400</v>
      </c>
      <c r="T14" s="128">
        <f t="shared" si="5"/>
        <v>2165665.5499999998</v>
      </c>
      <c r="U14" s="123">
        <f>'[5]ПП ВДГ'!U14+'[5]Корсак Л.Р.'!U14+'[5]Корсак В.І.'!U14+[5]Конякіна!U14</f>
        <v>0</v>
      </c>
      <c r="V14" s="123">
        <f>'[5]ПП ВДГ'!V14+'[5]Корсак Л.Р.'!V14+'[5]Корсак В.І.'!V14+[5]Конякіна!V14</f>
        <v>0</v>
      </c>
      <c r="W14" s="127">
        <f t="shared" si="6"/>
        <v>0</v>
      </c>
      <c r="X14" s="128">
        <f>'Солар Вест'!X14+Будник!X14</f>
        <v>2535318.44</v>
      </c>
      <c r="Y14" s="128">
        <f>'Солар Вест'!Y14+Будник!Y14</f>
        <v>135358</v>
      </c>
      <c r="Z14" s="128">
        <f t="shared" si="7"/>
        <v>2670676.44</v>
      </c>
      <c r="AA14" s="123">
        <f>'[5]ПП ВДГ'!AA14+'[5]Корсак Л.Р.'!AA14+'[5]Корсак В.І.'!AA14+[5]Конякіна!AA14</f>
        <v>0</v>
      </c>
      <c r="AB14" s="123">
        <f>'[5]ПП ВДГ'!AB14+'[5]Корсак Л.Р.'!AB14+'[5]Корсак В.І.'!AB14+[5]Конякіна!AB14</f>
        <v>0</v>
      </c>
      <c r="AC14" s="127">
        <f t="shared" si="8"/>
        <v>0</v>
      </c>
      <c r="AD14" s="128">
        <f>'Солар Вест'!AD14+Будник!AD14</f>
        <v>1074727.54</v>
      </c>
      <c r="AE14" s="128">
        <f>'Солар Вест'!AE14+Будник!AE14</f>
        <v>29910</v>
      </c>
      <c r="AF14" s="128">
        <f t="shared" si="9"/>
        <v>1104637.54</v>
      </c>
      <c r="AG14" s="123">
        <f>'[5]ПП ВДГ'!AG14+'[5]Корсак Л.Р.'!AG14+'[5]Корсак В.І.'!AG14+[5]Конякіна!AG14</f>
        <v>0</v>
      </c>
      <c r="AH14" s="123">
        <f>'[5]ПП ВДГ'!AH14+'[5]Корсак Л.Р.'!AH14+'[5]Корсак В.І.'!AH14+[5]Конякіна!AH14</f>
        <v>0</v>
      </c>
      <c r="AI14" s="127">
        <f t="shared" si="10"/>
        <v>0</v>
      </c>
      <c r="AJ14" s="128">
        <f>'Солар Вест'!AJ14+Будник!AJ14</f>
        <v>4236033.33</v>
      </c>
      <c r="AK14" s="128">
        <f>'Солар Вест'!AK14+Будник!AK14</f>
        <v>19150</v>
      </c>
      <c r="AL14" s="128">
        <f t="shared" si="11"/>
        <v>4255183.33</v>
      </c>
      <c r="AM14" s="123">
        <f>'[5]ПП ВДГ'!AM14+'[5]Корсак Л.Р.'!AM14+'[5]Корсак В.І.'!AM14+[5]Конякіна!AM14</f>
        <v>0</v>
      </c>
      <c r="AN14" s="123">
        <f>'[5]ПП ВДГ'!AN14+'[5]Корсак Л.Р.'!AN14+'[5]Корсак В.І.'!AN14+[5]Конякіна!AN14</f>
        <v>0</v>
      </c>
      <c r="AO14" s="127">
        <f t="shared" si="12"/>
        <v>0</v>
      </c>
      <c r="AP14" s="128">
        <f>'Солар Вест'!AP14+Будник!AP14</f>
        <v>948545.59</v>
      </c>
      <c r="AQ14" s="128">
        <f>'Солар Вест'!AQ14+Будник!AQ14</f>
        <v>9375</v>
      </c>
      <c r="AR14" s="128">
        <f t="shared" si="13"/>
        <v>957920.59</v>
      </c>
      <c r="AS14" s="123">
        <f>'[5]ПП ВДГ'!AS14+'[5]Корсак Л.Р.'!AS14+'[5]Корсак В.І.'!AS14+[5]Конякіна!AS14</f>
        <v>0</v>
      </c>
      <c r="AT14" s="123">
        <f>'[5]ПП ВДГ'!AT14+'[5]Корсак Л.Р.'!AT14+'[5]Корсак В.І.'!AT14+[5]Конякіна!AT14</f>
        <v>0</v>
      </c>
      <c r="AU14" s="127">
        <f t="shared" si="14"/>
        <v>0</v>
      </c>
      <c r="AV14" s="128">
        <f>'Солар Вест'!AV14+Будник!AV14</f>
        <v>264408.5</v>
      </c>
      <c r="AW14" s="128">
        <f>'Солар Вест'!AW14+Будник!AW14</f>
        <v>17302</v>
      </c>
      <c r="AX14" s="128">
        <f t="shared" si="15"/>
        <v>281710.5</v>
      </c>
      <c r="AY14" s="123">
        <f>'[5]ПП ВДГ'!AY14+'[5]Корсак Л.Р.'!AY14+'[5]Корсак В.І.'!AY14+[5]Конякіна!AY14</f>
        <v>0</v>
      </c>
      <c r="AZ14" s="123">
        <f>'[5]ПП ВДГ'!AZ14+'[5]Корсак Л.Р.'!AZ14+'[5]Корсак В.І.'!AZ14+[5]Конякіна!AZ14</f>
        <v>0</v>
      </c>
      <c r="BA14" s="127">
        <f t="shared" si="16"/>
        <v>0</v>
      </c>
      <c r="BB14" s="128">
        <f>'Солар Вест'!BB14+Будник!BB14</f>
        <v>1162866.5</v>
      </c>
      <c r="BC14" s="128">
        <f>'Солар Вест'!BC14+Будник!BC14</f>
        <v>1920</v>
      </c>
      <c r="BD14" s="128">
        <f t="shared" si="17"/>
        <v>1164786.5</v>
      </c>
      <c r="BE14" s="128">
        <f>'Солар Вест'!BE14+Будник!BE14</f>
        <v>583567.42000000004</v>
      </c>
      <c r="BF14" s="128">
        <f>'Солар Вест'!BF14+Будник!BF14</f>
        <v>140808</v>
      </c>
      <c r="BG14" s="127">
        <f t="shared" si="18"/>
        <v>724375.42</v>
      </c>
      <c r="BH14" s="128">
        <f>'Солар Вест'!BH14+Будник!BH14</f>
        <v>0</v>
      </c>
      <c r="BI14" s="128">
        <f>'Солар Вест'!BI14+Будник!BI14</f>
        <v>0</v>
      </c>
      <c r="BJ14" s="128">
        <f t="shared" si="19"/>
        <v>0</v>
      </c>
      <c r="BK14" s="123">
        <f>'[5]ПП ВДГ'!BK14+'[5]Корсак Л.Р.'!BK14+'[5]Корсак В.І.'!BK14+[5]Конякіна!BK14</f>
        <v>0</v>
      </c>
      <c r="BL14" s="123">
        <f>'[5]ПП ВДГ'!BL14+'[5]Корсак Л.Р.'!BL14+'[5]Корсак В.І.'!BL14+[5]Конякіна!BL14</f>
        <v>0</v>
      </c>
      <c r="BM14" s="127">
        <f t="shared" si="20"/>
        <v>0</v>
      </c>
      <c r="BN14" s="128">
        <f>'Солар Вест'!BN14+Будник!BN14</f>
        <v>0</v>
      </c>
      <c r="BO14" s="128">
        <f>'Солар Вест'!BO14+Будник!BO14</f>
        <v>0</v>
      </c>
      <c r="BP14" s="128">
        <f t="shared" si="21"/>
        <v>0</v>
      </c>
      <c r="BQ14" s="123">
        <f>'[5]ПП ВДГ'!BQ14+'[5]Корсак Л.Р.'!BQ14+'[5]Корсак В.І.'!BQ14+[5]Конякіна!BQ14</f>
        <v>0</v>
      </c>
      <c r="BR14" s="123">
        <f>'[5]ПП ВДГ'!BR14+'[5]Корсак Л.Р.'!BR14+'[5]Корсак В.І.'!BR14+[5]Конякіна!BR14</f>
        <v>0</v>
      </c>
      <c r="BS14" s="127">
        <f t="shared" si="22"/>
        <v>0</v>
      </c>
      <c r="BT14" s="128">
        <f>'Солар Вест'!BT14+Будник!BT14</f>
        <v>0</v>
      </c>
      <c r="BU14" s="128">
        <f>'Солар Вест'!BU14+Будник!BU14</f>
        <v>0</v>
      </c>
      <c r="BV14" s="128">
        <f t="shared" si="23"/>
        <v>0</v>
      </c>
      <c r="BW14" s="123">
        <f t="shared" si="24"/>
        <v>583567.42000000004</v>
      </c>
      <c r="BX14" s="123">
        <f t="shared" si="24"/>
        <v>140808</v>
      </c>
      <c r="BY14" s="127">
        <f t="shared" si="25"/>
        <v>724375.42</v>
      </c>
      <c r="BZ14" s="123">
        <f t="shared" si="26"/>
        <v>12590991.15</v>
      </c>
      <c r="CA14" s="123">
        <f t="shared" si="26"/>
        <v>298525</v>
      </c>
      <c r="CB14" s="128">
        <f t="shared" si="27"/>
        <v>12889516.15</v>
      </c>
    </row>
    <row r="15" spans="1:80" ht="25.5" x14ac:dyDescent="0.2">
      <c r="A15" s="121"/>
      <c r="B15" s="125" t="s">
        <v>30</v>
      </c>
      <c r="C15" s="126">
        <f>'[5]ПП ВДГ'!C15+'[5]Корсак Л.Р.'!C15+'[5]Корсак В.І.'!C15+[5]Конякіна!C15</f>
        <v>0</v>
      </c>
      <c r="D15" s="126">
        <f>'[5]ПП ВДГ'!D15+'[5]Корсак Л.Р.'!D15+'[5]Корсак В.І.'!D15+[5]Конякіна!D15</f>
        <v>0</v>
      </c>
      <c r="E15" s="126">
        <f t="shared" si="0"/>
        <v>0</v>
      </c>
      <c r="F15" s="126">
        <f>'Солар Вест'!F15+Будник!F15</f>
        <v>0</v>
      </c>
      <c r="G15" s="126">
        <f>'Солар Вест'!G15+Будник!G15</f>
        <v>0</v>
      </c>
      <c r="H15" s="124">
        <f t="shared" si="1"/>
        <v>0</v>
      </c>
      <c r="I15" s="126">
        <f>'[5]ПП ВДГ'!I15+'[5]Корсак Л.Р.'!I15+'[5]Корсак В.І.'!I15+[5]Конякіна!I15</f>
        <v>0</v>
      </c>
      <c r="J15" s="126">
        <f>'[5]ПП ВДГ'!J15+'[5]Корсак Л.Р.'!J15+'[5]Корсак В.І.'!J15+[5]Конякіна!J15</f>
        <v>0</v>
      </c>
      <c r="K15" s="126">
        <f t="shared" si="2"/>
        <v>0</v>
      </c>
      <c r="L15" s="126">
        <f>'Солар Вест'!L15+Будник!L15</f>
        <v>0</v>
      </c>
      <c r="M15" s="126">
        <f>'Солар Вест'!M15+Будник!M15</f>
        <v>0</v>
      </c>
      <c r="N15" s="124">
        <f t="shared" si="3"/>
        <v>0</v>
      </c>
      <c r="O15" s="126">
        <f>'[5]ПП ВДГ'!O15+'[5]Корсак Л.Р.'!O15+'[5]Корсак В.І.'!O15+[5]Конякіна!O15</f>
        <v>0</v>
      </c>
      <c r="P15" s="126">
        <f>'[5]ПП ВДГ'!P15+'[5]Корсак Л.Р.'!P15+'[5]Корсак В.І.'!P15+[5]Конякіна!P15</f>
        <v>0</v>
      </c>
      <c r="Q15" s="126">
        <f t="shared" si="4"/>
        <v>0</v>
      </c>
      <c r="R15" s="126">
        <f>'Солар Вест'!R15+Будник!R15</f>
        <v>0</v>
      </c>
      <c r="S15" s="126">
        <f>'Солар Вест'!S15+Будник!S15</f>
        <v>0</v>
      </c>
      <c r="T15" s="124">
        <f t="shared" si="5"/>
        <v>0</v>
      </c>
      <c r="U15" s="126">
        <f>'[5]ПП ВДГ'!U15+'[5]Корсак Л.Р.'!U15+'[5]Корсак В.І.'!U15+[5]Конякіна!U15</f>
        <v>0</v>
      </c>
      <c r="V15" s="126">
        <f>'[5]ПП ВДГ'!V15+'[5]Корсак Л.Р.'!V15+'[5]Корсак В.І.'!V15+[5]Конякіна!V15</f>
        <v>0</v>
      </c>
      <c r="W15" s="126">
        <f t="shared" si="6"/>
        <v>0</v>
      </c>
      <c r="X15" s="126">
        <f>'Солар Вест'!X15+Будник!X15</f>
        <v>0</v>
      </c>
      <c r="Y15" s="126">
        <f>'Солар Вест'!Y15+Будник!Y15</f>
        <v>0</v>
      </c>
      <c r="Z15" s="124">
        <f t="shared" si="7"/>
        <v>0</v>
      </c>
      <c r="AA15" s="126">
        <f>'[5]ПП ВДГ'!AA15+'[5]Корсак Л.Р.'!AA15+'[5]Корсак В.І.'!AA15+[5]Конякіна!AA15</f>
        <v>0</v>
      </c>
      <c r="AB15" s="126">
        <f>'[5]ПП ВДГ'!AB15+'[5]Корсак Л.Р.'!AB15+'[5]Корсак В.І.'!AB15+[5]Конякіна!AB15</f>
        <v>0</v>
      </c>
      <c r="AC15" s="126">
        <f t="shared" si="8"/>
        <v>0</v>
      </c>
      <c r="AD15" s="126">
        <f>'Солар Вест'!AD15+Будник!AD15</f>
        <v>0</v>
      </c>
      <c r="AE15" s="126">
        <f>'Солар Вест'!AE15+Будник!AE15</f>
        <v>0</v>
      </c>
      <c r="AF15" s="124">
        <f t="shared" si="9"/>
        <v>0</v>
      </c>
      <c r="AG15" s="126">
        <f>'[5]ПП ВДГ'!AG15+'[5]Корсак Л.Р.'!AG15+'[5]Корсак В.І.'!AG15+[5]Конякіна!AG15</f>
        <v>0</v>
      </c>
      <c r="AH15" s="126">
        <f>'[5]ПП ВДГ'!AH15+'[5]Корсак Л.Р.'!AH15+'[5]Корсак В.І.'!AH15+[5]Конякіна!AH15</f>
        <v>0</v>
      </c>
      <c r="AI15" s="126">
        <f t="shared" si="10"/>
        <v>0</v>
      </c>
      <c r="AJ15" s="126">
        <f>'Солар Вест'!AJ15+Будник!AJ15</f>
        <v>0</v>
      </c>
      <c r="AK15" s="126">
        <f>'Солар Вест'!AK15+Будник!AK15</f>
        <v>0</v>
      </c>
      <c r="AL15" s="124">
        <f t="shared" si="11"/>
        <v>0</v>
      </c>
      <c r="AM15" s="126">
        <f>'[5]ПП ВДГ'!AM15+'[5]Корсак Л.Р.'!AM15+'[5]Корсак В.І.'!AM15+[5]Конякіна!AM15</f>
        <v>0</v>
      </c>
      <c r="AN15" s="126">
        <f>'[5]ПП ВДГ'!AN15+'[5]Корсак Л.Р.'!AN15+'[5]Корсак В.І.'!AN15+[5]Конякіна!AN15</f>
        <v>0</v>
      </c>
      <c r="AO15" s="126">
        <f t="shared" si="12"/>
        <v>0</v>
      </c>
      <c r="AP15" s="126">
        <f>'Солар Вест'!AP15+Будник!AP15</f>
        <v>0</v>
      </c>
      <c r="AQ15" s="126">
        <f>'Солар Вест'!AQ15+Будник!AQ15</f>
        <v>0</v>
      </c>
      <c r="AR15" s="124">
        <f t="shared" si="13"/>
        <v>0</v>
      </c>
      <c r="AS15" s="126">
        <f>'[5]ПП ВДГ'!AS15+'[5]Корсак Л.Р.'!AS15+'[5]Корсак В.І.'!AS15+[5]Конякіна!AS15</f>
        <v>0</v>
      </c>
      <c r="AT15" s="126">
        <f>'[5]ПП ВДГ'!AT15+'[5]Корсак Л.Р.'!AT15+'[5]Корсак В.І.'!AT15+[5]Конякіна!AT15</f>
        <v>0</v>
      </c>
      <c r="AU15" s="126">
        <f t="shared" si="14"/>
        <v>0</v>
      </c>
      <c r="AV15" s="126">
        <f>'Солар Вест'!AV15+Будник!AV15</f>
        <v>0</v>
      </c>
      <c r="AW15" s="126">
        <f>'Солар Вест'!AW15+Будник!AW15</f>
        <v>0</v>
      </c>
      <c r="AX15" s="124">
        <f t="shared" si="15"/>
        <v>0</v>
      </c>
      <c r="AY15" s="126">
        <f>'[5]ПП ВДГ'!AY15+'[5]Корсак Л.Р.'!AY15+'[5]Корсак В.І.'!AY15+[5]Конякіна!AY15</f>
        <v>0</v>
      </c>
      <c r="AZ15" s="126">
        <f>'[5]ПП ВДГ'!AZ15+'[5]Корсак Л.Р.'!AZ15+'[5]Корсак В.І.'!AZ15+[5]Конякіна!AZ15</f>
        <v>0</v>
      </c>
      <c r="BA15" s="126">
        <f t="shared" si="16"/>
        <v>0</v>
      </c>
      <c r="BB15" s="126">
        <f>'Солар Вест'!BB15+Будник!BB15</f>
        <v>0</v>
      </c>
      <c r="BC15" s="126">
        <f>'Солар Вест'!BC15+Будник!BC15</f>
        <v>0</v>
      </c>
      <c r="BD15" s="124">
        <f t="shared" si="17"/>
        <v>0</v>
      </c>
      <c r="BE15" s="126">
        <f>'Солар Вест'!BE15+Будник!BE15</f>
        <v>0</v>
      </c>
      <c r="BF15" s="126">
        <f>'Солар Вест'!BF15+Будник!BF15</f>
        <v>0</v>
      </c>
      <c r="BG15" s="126">
        <f t="shared" si="18"/>
        <v>0</v>
      </c>
      <c r="BH15" s="126">
        <f>'Солар Вест'!BH15+Будник!BH15</f>
        <v>0</v>
      </c>
      <c r="BI15" s="126">
        <f>'Солар Вест'!BI15+Будник!BI15</f>
        <v>0</v>
      </c>
      <c r="BJ15" s="124">
        <f t="shared" si="19"/>
        <v>0</v>
      </c>
      <c r="BK15" s="126">
        <f>'[5]ПП ВДГ'!BK15+'[5]Корсак Л.Р.'!BK15+'[5]Корсак В.І.'!BK15+[5]Конякіна!BK15</f>
        <v>0</v>
      </c>
      <c r="BL15" s="126">
        <f>'[5]ПП ВДГ'!BL15+'[5]Корсак Л.Р.'!BL15+'[5]Корсак В.І.'!BL15+[5]Конякіна!BL15</f>
        <v>0</v>
      </c>
      <c r="BM15" s="126">
        <f t="shared" si="20"/>
        <v>0</v>
      </c>
      <c r="BN15" s="126">
        <f>'Солар Вест'!BN15+Будник!BN15</f>
        <v>0</v>
      </c>
      <c r="BO15" s="126">
        <f>'Солар Вест'!BO15+Будник!BO15</f>
        <v>0</v>
      </c>
      <c r="BP15" s="124">
        <f t="shared" si="21"/>
        <v>0</v>
      </c>
      <c r="BQ15" s="126">
        <f>'[5]ПП ВДГ'!BQ15+'[5]Корсак Л.Р.'!BQ15+'[5]Корсак В.І.'!BQ15+[5]Конякіна!BQ15</f>
        <v>0</v>
      </c>
      <c r="BR15" s="126">
        <f>'[5]ПП ВДГ'!BR15+'[5]Корсак Л.Р.'!BR15+'[5]Корсак В.І.'!BR15+[5]Конякіна!BR15</f>
        <v>0</v>
      </c>
      <c r="BS15" s="126">
        <f t="shared" si="22"/>
        <v>0</v>
      </c>
      <c r="BT15" s="126">
        <f>'Солар Вест'!BT15+Будник!BT15</f>
        <v>0</v>
      </c>
      <c r="BU15" s="126">
        <f>'Солар Вест'!BU15+Будник!BU15</f>
        <v>0</v>
      </c>
      <c r="BV15" s="124">
        <f t="shared" si="23"/>
        <v>0</v>
      </c>
      <c r="BW15" s="126">
        <f t="shared" si="24"/>
        <v>0</v>
      </c>
      <c r="BX15" s="126">
        <f t="shared" si="24"/>
        <v>0</v>
      </c>
      <c r="BY15" s="126">
        <f t="shared" si="25"/>
        <v>0</v>
      </c>
      <c r="BZ15" s="126">
        <f t="shared" si="26"/>
        <v>0</v>
      </c>
      <c r="CA15" s="126">
        <f t="shared" si="26"/>
        <v>0</v>
      </c>
      <c r="CB15" s="124">
        <f t="shared" si="27"/>
        <v>0</v>
      </c>
    </row>
    <row r="16" spans="1:80" x14ac:dyDescent="0.2">
      <c r="A16" s="121">
        <v>113</v>
      </c>
      <c r="B16" s="122" t="s">
        <v>31</v>
      </c>
      <c r="C16" s="123">
        <f>'[5]ПП ВДГ'!C16+'[5]Корсак Л.Р.'!C16+'[5]Корсак В.І.'!C16+[5]Конякіна!C16</f>
        <v>0</v>
      </c>
      <c r="D16" s="123">
        <f>'[5]ПП ВДГ'!D16+'[5]Корсак Л.Р.'!D16+'[5]Корсак В.І.'!D16+[5]Конякіна!D16</f>
        <v>0</v>
      </c>
      <c r="E16" s="127">
        <f t="shared" si="0"/>
        <v>0</v>
      </c>
      <c r="F16" s="128">
        <f>'Солар Вест'!F16+Будник!F16</f>
        <v>0</v>
      </c>
      <c r="G16" s="128">
        <f>'Солар Вест'!G16+Будник!G16</f>
        <v>229400</v>
      </c>
      <c r="H16" s="128">
        <f t="shared" si="1"/>
        <v>229400</v>
      </c>
      <c r="I16" s="123">
        <f>'[5]ПП ВДГ'!I16+'[5]Корсак Л.Р.'!I16+'[5]Корсак В.І.'!I16+[5]Конякіна!I16</f>
        <v>0</v>
      </c>
      <c r="J16" s="123">
        <f>'[5]ПП ВДГ'!J16+'[5]Корсак Л.Р.'!J16+'[5]Корсак В.І.'!J16+[5]Конякіна!J16</f>
        <v>0</v>
      </c>
      <c r="K16" s="127">
        <f t="shared" si="2"/>
        <v>0</v>
      </c>
      <c r="L16" s="128">
        <f>'Солар Вест'!L16+Будник!L16</f>
        <v>0</v>
      </c>
      <c r="M16" s="128">
        <f>'Солар Вест'!M16+Будник!M16</f>
        <v>169100</v>
      </c>
      <c r="N16" s="128">
        <f t="shared" si="3"/>
        <v>169100</v>
      </c>
      <c r="O16" s="123">
        <f>'[5]ПП ВДГ'!O16+'[5]Корсак Л.Р.'!O16+'[5]Корсак В.І.'!O16+[5]Конякіна!O16</f>
        <v>0</v>
      </c>
      <c r="P16" s="123">
        <f>'[5]ПП ВДГ'!P16+'[5]Корсак Л.Р.'!P16+'[5]Корсак В.І.'!P16+[5]Конякіна!P16</f>
        <v>0</v>
      </c>
      <c r="Q16" s="127">
        <f t="shared" si="4"/>
        <v>0</v>
      </c>
      <c r="R16" s="128">
        <f>'Солар Вест'!R16+Будник!R16</f>
        <v>0</v>
      </c>
      <c r="S16" s="128">
        <f>'Солар Вест'!S16+Будник!S16</f>
        <v>188610</v>
      </c>
      <c r="T16" s="128">
        <f t="shared" si="5"/>
        <v>188610</v>
      </c>
      <c r="U16" s="123">
        <f>'[5]ПП ВДГ'!U16+'[5]Корсак Л.Р.'!U16+'[5]Корсак В.І.'!U16+[5]Конякіна!U16</f>
        <v>0</v>
      </c>
      <c r="V16" s="123">
        <f>'[5]ПП ВДГ'!V16+'[5]Корсак Л.Р.'!V16+'[5]Корсак В.І.'!V16+[5]Конякіна!V16</f>
        <v>0</v>
      </c>
      <c r="W16" s="127">
        <f t="shared" si="6"/>
        <v>0</v>
      </c>
      <c r="X16" s="128">
        <f>'Солар Вест'!X16+Будник!X16</f>
        <v>0</v>
      </c>
      <c r="Y16" s="128">
        <f>'Солар Вест'!Y16+Будник!Y16</f>
        <v>410000</v>
      </c>
      <c r="Z16" s="128">
        <f t="shared" si="7"/>
        <v>410000</v>
      </c>
      <c r="AA16" s="123">
        <f>'[5]ПП ВДГ'!AA16+'[5]Корсак Л.Р.'!AA16+'[5]Корсак В.І.'!AA16+[5]Конякіна!AA16</f>
        <v>0</v>
      </c>
      <c r="AB16" s="123">
        <f>'[5]ПП ВДГ'!AB16+'[5]Корсак Л.Р.'!AB16+'[5]Корсак В.І.'!AB16+[5]Конякіна!AB16</f>
        <v>0</v>
      </c>
      <c r="AC16" s="127">
        <f t="shared" si="8"/>
        <v>0</v>
      </c>
      <c r="AD16" s="128">
        <f>'Солар Вест'!AD16+Будник!AD16</f>
        <v>0</v>
      </c>
      <c r="AE16" s="128">
        <f>'Солар Вест'!AE16+Будник!AE16</f>
        <v>687620</v>
      </c>
      <c r="AF16" s="128">
        <f t="shared" si="9"/>
        <v>687620</v>
      </c>
      <c r="AG16" s="123">
        <f>'[5]ПП ВДГ'!AG16+'[5]Корсак Л.Р.'!AG16+'[5]Корсак В.І.'!AG16+[5]Конякіна!AG16</f>
        <v>0</v>
      </c>
      <c r="AH16" s="123">
        <f>'[5]ПП ВДГ'!AH16+'[5]Корсак Л.Р.'!AH16+'[5]Корсак В.І.'!AH16+[5]Конякіна!AH16</f>
        <v>0</v>
      </c>
      <c r="AI16" s="127">
        <f t="shared" si="10"/>
        <v>0</v>
      </c>
      <c r="AJ16" s="128">
        <f>'Солар Вест'!AJ16+Будник!AJ16</f>
        <v>62000</v>
      </c>
      <c r="AK16" s="128">
        <f>'Солар Вест'!AK16+Будник!AK16</f>
        <v>643228</v>
      </c>
      <c r="AL16" s="128">
        <f t="shared" si="11"/>
        <v>705228</v>
      </c>
      <c r="AM16" s="123">
        <f>'[5]ПП ВДГ'!AM16+'[5]Корсак Л.Р.'!AM16+'[5]Корсак В.І.'!AM16+[5]Конякіна!AM16</f>
        <v>0</v>
      </c>
      <c r="AN16" s="123">
        <f>'[5]ПП ВДГ'!AN16+'[5]Корсак Л.Р.'!AN16+'[5]Корсак В.І.'!AN16+[5]Конякіна!AN16</f>
        <v>0</v>
      </c>
      <c r="AO16" s="127">
        <f t="shared" si="12"/>
        <v>0</v>
      </c>
      <c r="AP16" s="128">
        <f>'Солар Вест'!AP16+Будник!AP16</f>
        <v>56600</v>
      </c>
      <c r="AQ16" s="128">
        <f>'Солар Вест'!AQ16+Будник!AQ16</f>
        <v>222000</v>
      </c>
      <c r="AR16" s="128">
        <f t="shared" si="13"/>
        <v>278600</v>
      </c>
      <c r="AS16" s="123">
        <f>'[5]ПП ВДГ'!AS16+'[5]Корсак Л.Р.'!AS16+'[5]Корсак В.І.'!AS16+[5]Конякіна!AS16</f>
        <v>0</v>
      </c>
      <c r="AT16" s="123">
        <f>'[5]ПП ВДГ'!AT16+'[5]Корсак Л.Р.'!AT16+'[5]Корсак В.І.'!AT16+[5]Конякіна!AT16</f>
        <v>0</v>
      </c>
      <c r="AU16" s="127">
        <f t="shared" si="14"/>
        <v>0</v>
      </c>
      <c r="AV16" s="128">
        <f>'Солар Вест'!AV16+Будник!AV16</f>
        <v>528700</v>
      </c>
      <c r="AW16" s="128">
        <f>'Солар Вест'!AW16+Будник!AW16</f>
        <v>282290</v>
      </c>
      <c r="AX16" s="128">
        <f t="shared" si="15"/>
        <v>810990</v>
      </c>
      <c r="AY16" s="123">
        <f>'[5]ПП ВДГ'!AY16+'[5]Корсак Л.Р.'!AY16+'[5]Корсак В.І.'!AY16+[5]Конякіна!AY16</f>
        <v>0</v>
      </c>
      <c r="AZ16" s="123">
        <f>'[5]ПП ВДГ'!AZ16+'[5]Корсак Л.Р.'!AZ16+'[5]Корсак В.І.'!AZ16+[5]Конякіна!AZ16</f>
        <v>0</v>
      </c>
      <c r="BA16" s="127">
        <f t="shared" si="16"/>
        <v>0</v>
      </c>
      <c r="BB16" s="128">
        <f>'Солар Вест'!BB16+Будник!BB16</f>
        <v>216700</v>
      </c>
      <c r="BC16" s="128">
        <f>'Солар Вест'!BC16+Будник!BC16</f>
        <v>283290</v>
      </c>
      <c r="BD16" s="128">
        <f t="shared" si="17"/>
        <v>499990</v>
      </c>
      <c r="BE16" s="128">
        <f>'Солар Вест'!BE16+Будник!BE16</f>
        <v>0</v>
      </c>
      <c r="BF16" s="128">
        <f>'Солар Вест'!BF16+Будник!BF16</f>
        <v>268985</v>
      </c>
      <c r="BG16" s="127">
        <f t="shared" si="18"/>
        <v>268985</v>
      </c>
      <c r="BH16" s="128">
        <f>'Солар Вест'!BH16+Будник!BH16</f>
        <v>0</v>
      </c>
      <c r="BI16" s="128">
        <f>'Солар Вест'!BI16+Будник!BI16</f>
        <v>0</v>
      </c>
      <c r="BJ16" s="128">
        <f t="shared" si="19"/>
        <v>0</v>
      </c>
      <c r="BK16" s="123">
        <f>'[5]ПП ВДГ'!BK16+'[5]Корсак Л.Р.'!BK16+'[5]Корсак В.І.'!BK16+[5]Конякіна!BK16</f>
        <v>0</v>
      </c>
      <c r="BL16" s="123">
        <f>'[5]ПП ВДГ'!BL16+'[5]Корсак Л.Р.'!BL16+'[5]Корсак В.І.'!BL16+[5]Конякіна!BL16</f>
        <v>0</v>
      </c>
      <c r="BM16" s="127">
        <f t="shared" si="20"/>
        <v>0</v>
      </c>
      <c r="BN16" s="128">
        <f>'Солар Вест'!BN16+Будник!BN16</f>
        <v>0</v>
      </c>
      <c r="BO16" s="128">
        <f>'Солар Вест'!BO16+Будник!BO16</f>
        <v>0</v>
      </c>
      <c r="BP16" s="128">
        <f t="shared" si="21"/>
        <v>0</v>
      </c>
      <c r="BQ16" s="123">
        <f>'[5]ПП ВДГ'!BQ16+'[5]Корсак Л.Р.'!BQ16+'[5]Корсак В.І.'!BQ16+[5]Конякіна!BQ16</f>
        <v>0</v>
      </c>
      <c r="BR16" s="123">
        <f>'[5]ПП ВДГ'!BR16+'[5]Корсак Л.Р.'!BR16+'[5]Корсак В.І.'!BR16+[5]Конякіна!BR16</f>
        <v>0</v>
      </c>
      <c r="BS16" s="127">
        <f t="shared" si="22"/>
        <v>0</v>
      </c>
      <c r="BT16" s="128">
        <f>'Солар Вест'!BT16+Будник!BT16</f>
        <v>0</v>
      </c>
      <c r="BU16" s="128">
        <f>'Солар Вест'!BU16+Будник!BU16</f>
        <v>0</v>
      </c>
      <c r="BV16" s="128">
        <f t="shared" si="23"/>
        <v>0</v>
      </c>
      <c r="BW16" s="123">
        <f t="shared" si="24"/>
        <v>0</v>
      </c>
      <c r="BX16" s="123">
        <f t="shared" si="24"/>
        <v>268985</v>
      </c>
      <c r="BY16" s="127">
        <f t="shared" si="25"/>
        <v>268985</v>
      </c>
      <c r="BZ16" s="123">
        <f t="shared" si="26"/>
        <v>864000</v>
      </c>
      <c r="CA16" s="123">
        <f t="shared" si="26"/>
        <v>3115538</v>
      </c>
      <c r="CB16" s="128">
        <f t="shared" si="27"/>
        <v>3979538</v>
      </c>
    </row>
    <row r="17" spans="1:80" ht="25.5" x14ac:dyDescent="0.2">
      <c r="A17" s="121"/>
      <c r="B17" s="125" t="s">
        <v>32</v>
      </c>
      <c r="C17" s="126">
        <f>'[5]ПП ВДГ'!C17+'[5]Корсак Л.Р.'!C17+'[5]Корсак В.І.'!C17+[5]Конякіна!C17</f>
        <v>0</v>
      </c>
      <c r="D17" s="126">
        <f>'[5]ПП ВДГ'!D17+'[5]Корсак Л.Р.'!D17+'[5]Корсак В.І.'!D17+[5]Конякіна!D17</f>
        <v>0</v>
      </c>
      <c r="E17" s="126">
        <f t="shared" si="0"/>
        <v>0</v>
      </c>
      <c r="F17" s="126">
        <f>'Солар Вест'!F17+Будник!F17</f>
        <v>0</v>
      </c>
      <c r="G17" s="126">
        <f>'Солар Вест'!G17+Будник!G17</f>
        <v>0</v>
      </c>
      <c r="H17" s="124">
        <f t="shared" si="1"/>
        <v>0</v>
      </c>
      <c r="I17" s="126">
        <f>'[5]ПП ВДГ'!I17+'[5]Корсак Л.Р.'!I17+'[5]Корсак В.І.'!I17+[5]Конякіна!I17</f>
        <v>0</v>
      </c>
      <c r="J17" s="126">
        <f>'[5]ПП ВДГ'!J17+'[5]Корсак Л.Р.'!J17+'[5]Корсак В.І.'!J17+[5]Конякіна!J17</f>
        <v>0</v>
      </c>
      <c r="K17" s="126">
        <f t="shared" si="2"/>
        <v>0</v>
      </c>
      <c r="L17" s="126">
        <f>'Солар Вест'!L17+Будник!L17</f>
        <v>0</v>
      </c>
      <c r="M17" s="126">
        <f>'Солар Вест'!M17+Будник!M17</f>
        <v>0</v>
      </c>
      <c r="N17" s="124">
        <f t="shared" si="3"/>
        <v>0</v>
      </c>
      <c r="O17" s="126">
        <f>'[5]ПП ВДГ'!O17+'[5]Корсак Л.Р.'!O17+'[5]Корсак В.І.'!O17+[5]Конякіна!O17</f>
        <v>0</v>
      </c>
      <c r="P17" s="126">
        <f>'[5]ПП ВДГ'!P17+'[5]Корсак Л.Р.'!P17+'[5]Корсак В.І.'!P17+[5]Конякіна!P17</f>
        <v>0</v>
      </c>
      <c r="Q17" s="126">
        <f t="shared" si="4"/>
        <v>0</v>
      </c>
      <c r="R17" s="126">
        <f>'Солар Вест'!R17+Будник!R17</f>
        <v>0</v>
      </c>
      <c r="S17" s="126">
        <f>'Солар Вест'!S17+Будник!S17</f>
        <v>0</v>
      </c>
      <c r="T17" s="124">
        <f t="shared" si="5"/>
        <v>0</v>
      </c>
      <c r="U17" s="126">
        <f>'[5]ПП ВДГ'!U17+'[5]Корсак Л.Р.'!U17+'[5]Корсак В.І.'!U17+[5]Конякіна!U17</f>
        <v>0</v>
      </c>
      <c r="V17" s="126">
        <f>'[5]ПП ВДГ'!V17+'[5]Корсак Л.Р.'!V17+'[5]Корсак В.І.'!V17+[5]Конякіна!V17</f>
        <v>0</v>
      </c>
      <c r="W17" s="126">
        <f t="shared" si="6"/>
        <v>0</v>
      </c>
      <c r="X17" s="126">
        <f>'Солар Вест'!X17+Будник!X17</f>
        <v>0</v>
      </c>
      <c r="Y17" s="126">
        <f>'Солар Вест'!Y17+Будник!Y17</f>
        <v>0</v>
      </c>
      <c r="Z17" s="124">
        <f t="shared" si="7"/>
        <v>0</v>
      </c>
      <c r="AA17" s="126">
        <f>'[5]ПП ВДГ'!AA17+'[5]Корсак Л.Р.'!AA17+'[5]Корсак В.І.'!AA17+[5]Конякіна!AA17</f>
        <v>0</v>
      </c>
      <c r="AB17" s="126">
        <f>'[5]ПП ВДГ'!AB17+'[5]Корсак Л.Р.'!AB17+'[5]Корсак В.І.'!AB17+[5]Конякіна!AB17</f>
        <v>0</v>
      </c>
      <c r="AC17" s="126">
        <f t="shared" si="8"/>
        <v>0</v>
      </c>
      <c r="AD17" s="126">
        <f>'Солар Вест'!AD17+Будник!AD17</f>
        <v>0</v>
      </c>
      <c r="AE17" s="126">
        <f>'Солар Вест'!AE17+Будник!AE17</f>
        <v>0</v>
      </c>
      <c r="AF17" s="124">
        <f t="shared" si="9"/>
        <v>0</v>
      </c>
      <c r="AG17" s="126">
        <f>'[5]ПП ВДГ'!AG17+'[5]Корсак Л.Р.'!AG17+'[5]Корсак В.І.'!AG17+[5]Конякіна!AG17</f>
        <v>0</v>
      </c>
      <c r="AH17" s="126">
        <f>'[5]ПП ВДГ'!AH17+'[5]Корсак Л.Р.'!AH17+'[5]Корсак В.І.'!AH17+[5]Конякіна!AH17</f>
        <v>0</v>
      </c>
      <c r="AI17" s="126">
        <f t="shared" si="10"/>
        <v>0</v>
      </c>
      <c r="AJ17" s="126">
        <f>'Солар Вест'!AJ17+Будник!AJ17</f>
        <v>0</v>
      </c>
      <c r="AK17" s="126">
        <f>'Солар Вест'!AK17+Будник!AK17</f>
        <v>0</v>
      </c>
      <c r="AL17" s="124">
        <f t="shared" si="11"/>
        <v>0</v>
      </c>
      <c r="AM17" s="126">
        <f>'[5]ПП ВДГ'!AM17+'[5]Корсак Л.Р.'!AM17+'[5]Корсак В.І.'!AM17+[5]Конякіна!AM17</f>
        <v>0</v>
      </c>
      <c r="AN17" s="126">
        <f>'[5]ПП ВДГ'!AN17+'[5]Корсак Л.Р.'!AN17+'[5]Корсак В.І.'!AN17+[5]Конякіна!AN17</f>
        <v>0</v>
      </c>
      <c r="AO17" s="126">
        <f t="shared" si="12"/>
        <v>0</v>
      </c>
      <c r="AP17" s="126">
        <f>'Солар Вест'!AP17+Будник!AP17</f>
        <v>0</v>
      </c>
      <c r="AQ17" s="126">
        <f>'Солар Вест'!AQ17+Будник!AQ17</f>
        <v>0</v>
      </c>
      <c r="AR17" s="124">
        <f t="shared" si="13"/>
        <v>0</v>
      </c>
      <c r="AS17" s="126">
        <f>'[5]ПП ВДГ'!AS17+'[5]Корсак Л.Р.'!AS17+'[5]Корсак В.І.'!AS17+[5]Конякіна!AS17</f>
        <v>0</v>
      </c>
      <c r="AT17" s="126">
        <f>'[5]ПП ВДГ'!AT17+'[5]Корсак Л.Р.'!AT17+'[5]Корсак В.І.'!AT17+[5]Конякіна!AT17</f>
        <v>0</v>
      </c>
      <c r="AU17" s="126">
        <f t="shared" si="14"/>
        <v>0</v>
      </c>
      <c r="AV17" s="126">
        <f>'Солар Вест'!AV17+Будник!AV17</f>
        <v>0</v>
      </c>
      <c r="AW17" s="126">
        <f>'Солар Вест'!AW17+Будник!AW17</f>
        <v>0</v>
      </c>
      <c r="AX17" s="124">
        <f t="shared" si="15"/>
        <v>0</v>
      </c>
      <c r="AY17" s="126">
        <f>'[5]ПП ВДГ'!AY17+'[5]Корсак Л.Р.'!AY17+'[5]Корсак В.І.'!AY17+[5]Конякіна!AY17</f>
        <v>0</v>
      </c>
      <c r="AZ17" s="126">
        <f>'[5]ПП ВДГ'!AZ17+'[5]Корсак Л.Р.'!AZ17+'[5]Корсак В.І.'!AZ17+[5]Конякіна!AZ17</f>
        <v>0</v>
      </c>
      <c r="BA17" s="126">
        <f t="shared" si="16"/>
        <v>0</v>
      </c>
      <c r="BB17" s="126">
        <f>'Солар Вест'!BB17+Будник!BB17</f>
        <v>0</v>
      </c>
      <c r="BC17" s="126">
        <f>'Солар Вест'!BC17+Будник!BC17</f>
        <v>0</v>
      </c>
      <c r="BD17" s="124">
        <f t="shared" si="17"/>
        <v>0</v>
      </c>
      <c r="BE17" s="126">
        <f>'Солар Вест'!BE17+Будник!BE17</f>
        <v>0</v>
      </c>
      <c r="BF17" s="126">
        <f>'Солар Вест'!BF17+Будник!BF17</f>
        <v>0</v>
      </c>
      <c r="BG17" s="126">
        <f t="shared" si="18"/>
        <v>0</v>
      </c>
      <c r="BH17" s="126">
        <f>'Солар Вест'!BH17+Будник!BH17</f>
        <v>0</v>
      </c>
      <c r="BI17" s="126">
        <f>'Солар Вест'!BI17+Будник!BI17</f>
        <v>0</v>
      </c>
      <c r="BJ17" s="124">
        <f t="shared" si="19"/>
        <v>0</v>
      </c>
      <c r="BK17" s="126">
        <f>'[5]ПП ВДГ'!BK17+'[5]Корсак Л.Р.'!BK17+'[5]Корсак В.І.'!BK17+[5]Конякіна!BK17</f>
        <v>0</v>
      </c>
      <c r="BL17" s="126">
        <f>'[5]ПП ВДГ'!BL17+'[5]Корсак Л.Р.'!BL17+'[5]Корсак В.І.'!BL17+[5]Конякіна!BL17</f>
        <v>0</v>
      </c>
      <c r="BM17" s="126">
        <f t="shared" si="20"/>
        <v>0</v>
      </c>
      <c r="BN17" s="126">
        <f>'Солар Вест'!BN17+Будник!BN17</f>
        <v>0</v>
      </c>
      <c r="BO17" s="126">
        <f>'Солар Вест'!BO17+Будник!BO17</f>
        <v>0</v>
      </c>
      <c r="BP17" s="124">
        <f t="shared" si="21"/>
        <v>0</v>
      </c>
      <c r="BQ17" s="126">
        <f>'[5]ПП ВДГ'!BQ17+'[5]Корсак Л.Р.'!BQ17+'[5]Корсак В.І.'!BQ17+[5]Конякіна!BQ17</f>
        <v>0</v>
      </c>
      <c r="BR17" s="126">
        <f>'[5]ПП ВДГ'!BR17+'[5]Корсак Л.Р.'!BR17+'[5]Корсак В.І.'!BR17+[5]Конякіна!BR17</f>
        <v>0</v>
      </c>
      <c r="BS17" s="126">
        <f t="shared" si="22"/>
        <v>0</v>
      </c>
      <c r="BT17" s="126">
        <f>'Солар Вест'!BT17+Будник!BT17</f>
        <v>0</v>
      </c>
      <c r="BU17" s="126">
        <f>'Солар Вест'!BU17+Будник!BU17</f>
        <v>0</v>
      </c>
      <c r="BV17" s="124">
        <f t="shared" si="23"/>
        <v>0</v>
      </c>
      <c r="BW17" s="126">
        <f t="shared" si="24"/>
        <v>0</v>
      </c>
      <c r="BX17" s="126">
        <f t="shared" si="24"/>
        <v>0</v>
      </c>
      <c r="BY17" s="126">
        <f t="shared" si="25"/>
        <v>0</v>
      </c>
      <c r="BZ17" s="126">
        <f t="shared" si="26"/>
        <v>0</v>
      </c>
      <c r="CA17" s="126">
        <f t="shared" si="26"/>
        <v>0</v>
      </c>
      <c r="CB17" s="124">
        <f t="shared" si="27"/>
        <v>0</v>
      </c>
    </row>
    <row r="18" spans="1:80" x14ac:dyDescent="0.2">
      <c r="A18" s="121">
        <v>114</v>
      </c>
      <c r="B18" s="129" t="s">
        <v>93</v>
      </c>
      <c r="C18" s="123">
        <f>'[5]ПП ВДГ'!C18+'[5]Корсак Л.Р.'!C18+'[5]Корсак В.І.'!C18+[5]Конякіна!C18</f>
        <v>175000</v>
      </c>
      <c r="D18" s="123">
        <f>'[5]ПП ВДГ'!D18+'[5]Корсак Л.Р.'!D18+'[5]Корсак В.І.'!D18+[5]Конякіна!D18</f>
        <v>191000</v>
      </c>
      <c r="E18" s="127">
        <f t="shared" si="0"/>
        <v>366000</v>
      </c>
      <c r="F18" s="128">
        <f>'Солар Вест'!F18+Будник!F18</f>
        <v>0</v>
      </c>
      <c r="G18" s="128">
        <f>'Солар Вест'!G18+Будник!G18</f>
        <v>0</v>
      </c>
      <c r="H18" s="128">
        <f t="shared" si="1"/>
        <v>0</v>
      </c>
      <c r="I18" s="123">
        <f>'[5]ПП ВДГ'!I18+'[5]Корсак Л.Р.'!I18+'[5]Корсак В.І.'!I18+[5]Конякіна!I18</f>
        <v>175000</v>
      </c>
      <c r="J18" s="123">
        <f>'[5]ПП ВДГ'!J18+'[5]Корсак Л.Р.'!J18+'[5]Корсак В.І.'!J18+[5]Конякіна!J18</f>
        <v>191000</v>
      </c>
      <c r="K18" s="127">
        <f t="shared" si="2"/>
        <v>366000</v>
      </c>
      <c r="L18" s="128">
        <f>'Солар Вест'!L18+Будник!L18</f>
        <v>0</v>
      </c>
      <c r="M18" s="128">
        <f>'Солар Вест'!M18+Будник!M18</f>
        <v>0</v>
      </c>
      <c r="N18" s="128">
        <f t="shared" si="3"/>
        <v>0</v>
      </c>
      <c r="O18" s="123">
        <f>'[5]ПП ВДГ'!O18+'[5]Корсак Л.Р.'!O18+'[5]Корсак В.І.'!O18+[5]Конякіна!O18</f>
        <v>175000</v>
      </c>
      <c r="P18" s="123">
        <f>'[5]ПП ВДГ'!P18+'[5]Корсак Л.Р.'!P18+'[5]Корсак В.І.'!P18+[5]Конякіна!P18</f>
        <v>191000</v>
      </c>
      <c r="Q18" s="127">
        <f t="shared" si="4"/>
        <v>366000</v>
      </c>
      <c r="R18" s="128">
        <f>'Солар Вест'!R18+Будник!R18</f>
        <v>0</v>
      </c>
      <c r="S18" s="128">
        <f>'Солар Вест'!S18+Будник!S18</f>
        <v>0</v>
      </c>
      <c r="T18" s="128">
        <f t="shared" si="5"/>
        <v>0</v>
      </c>
      <c r="U18" s="123">
        <f>'[5]ПП ВДГ'!U18+'[5]Корсак Л.Р.'!U18+'[5]Корсак В.І.'!U18+[5]Конякіна!U18</f>
        <v>270000</v>
      </c>
      <c r="V18" s="123">
        <f>'[5]ПП ВДГ'!V18+'[5]Корсак Л.Р.'!V18+'[5]Корсак В.І.'!V18+[5]Конякіна!V18</f>
        <v>97000</v>
      </c>
      <c r="W18" s="127">
        <f t="shared" si="6"/>
        <v>367000</v>
      </c>
      <c r="X18" s="128">
        <f>'Солар Вест'!X18+Будник!X18</f>
        <v>0</v>
      </c>
      <c r="Y18" s="128">
        <f>'Солар Вест'!Y18+Будник!Y18</f>
        <v>0</v>
      </c>
      <c r="Z18" s="128">
        <f t="shared" si="7"/>
        <v>0</v>
      </c>
      <c r="AA18" s="123">
        <f>'[5]ПП ВДГ'!AA18+'[5]Корсак Л.Р.'!AA18+'[5]Корсак В.І.'!AA18+[5]Конякіна!AA18</f>
        <v>175000</v>
      </c>
      <c r="AB18" s="123">
        <f>'[5]ПП ВДГ'!AB18+'[5]Корсак Л.Р.'!AB18+'[5]Корсак В.І.'!AB18+[5]Конякіна!AB18</f>
        <v>191000</v>
      </c>
      <c r="AC18" s="127">
        <f t="shared" si="8"/>
        <v>366000</v>
      </c>
      <c r="AD18" s="128">
        <f>'Солар Вест'!AD18+Будник!AD18</f>
        <v>0</v>
      </c>
      <c r="AE18" s="128">
        <f>'Солар Вест'!AE18+Будник!AE18</f>
        <v>0</v>
      </c>
      <c r="AF18" s="128">
        <f t="shared" si="9"/>
        <v>0</v>
      </c>
      <c r="AG18" s="123">
        <f>'[5]ПП ВДГ'!AG18+'[5]Корсак Л.Р.'!AG18+'[5]Корсак В.І.'!AG18+[5]Конякіна!AG18</f>
        <v>180000</v>
      </c>
      <c r="AH18" s="123">
        <f>'[5]ПП ВДГ'!AH18+'[5]Корсак Л.Р.'!AH18+'[5]Корсак В.І.'!AH18+[5]Конякіна!AH18</f>
        <v>199000</v>
      </c>
      <c r="AI18" s="127">
        <f t="shared" si="10"/>
        <v>379000</v>
      </c>
      <c r="AJ18" s="128">
        <f>'Солар Вест'!AJ18+Будник!AJ18</f>
        <v>0</v>
      </c>
      <c r="AK18" s="128">
        <f>'Солар Вест'!AK18+Будник!AK18</f>
        <v>0</v>
      </c>
      <c r="AL18" s="128">
        <f t="shared" si="11"/>
        <v>0</v>
      </c>
      <c r="AM18" s="123">
        <f>'[5]ПП ВДГ'!AM18+'[5]Корсак Л.Р.'!AM18+'[5]Корсак В.І.'!AM18+[5]Конякіна!AM18</f>
        <v>175000</v>
      </c>
      <c r="AN18" s="123">
        <f>'[5]ПП ВДГ'!AN18+'[5]Корсак Л.Р.'!AN18+'[5]Корсак В.І.'!AN18+[5]Конякіна!AN18</f>
        <v>194000</v>
      </c>
      <c r="AO18" s="127">
        <f t="shared" si="12"/>
        <v>369000</v>
      </c>
      <c r="AP18" s="128">
        <f>'Солар Вест'!AP18+Будник!AP18</f>
        <v>0</v>
      </c>
      <c r="AQ18" s="128">
        <f>'Солар Вест'!AQ18+Будник!AQ18</f>
        <v>0</v>
      </c>
      <c r="AR18" s="128">
        <f t="shared" si="13"/>
        <v>0</v>
      </c>
      <c r="AS18" s="123">
        <f>'[5]ПП ВДГ'!AS18+'[5]Корсак Л.Р.'!AS18+'[5]Корсак В.І.'!AS18+[5]Конякіна!AS18</f>
        <v>175000</v>
      </c>
      <c r="AT18" s="123">
        <f>'[5]ПП ВДГ'!AT18+'[5]Корсак Л.Р.'!AT18+'[5]Корсак В.І.'!AT18+[5]Конякіна!AT18</f>
        <v>191000</v>
      </c>
      <c r="AU18" s="127">
        <f t="shared" si="14"/>
        <v>366000</v>
      </c>
      <c r="AV18" s="128">
        <f>'Солар Вест'!AV18+Будник!AV18</f>
        <v>0</v>
      </c>
      <c r="AW18" s="128">
        <f>'Солар Вест'!AW18+Будник!AW18</f>
        <v>0</v>
      </c>
      <c r="AX18" s="128">
        <f t="shared" si="15"/>
        <v>0</v>
      </c>
      <c r="AY18" s="123">
        <f>'[5]ПП ВДГ'!AY18+'[5]Корсак Л.Р.'!AY18+'[5]Корсак В.І.'!AY18+[5]Конякіна!AY18</f>
        <v>175000</v>
      </c>
      <c r="AZ18" s="123">
        <f>'[5]ПП ВДГ'!AZ18+'[5]Корсак Л.Р.'!AZ18+'[5]Корсак В.І.'!AZ18+[5]Конякіна!AZ18</f>
        <v>191000</v>
      </c>
      <c r="BA18" s="127">
        <f t="shared" si="16"/>
        <v>366000</v>
      </c>
      <c r="BB18" s="128">
        <f>'Солар Вест'!BB18+Будник!BB18</f>
        <v>0</v>
      </c>
      <c r="BC18" s="128">
        <f>'Солар Вест'!BC18+Будник!BC18</f>
        <v>0</v>
      </c>
      <c r="BD18" s="128">
        <f t="shared" si="17"/>
        <v>0</v>
      </c>
      <c r="BE18" s="128">
        <f>'Солар Вест'!BE18+Будник!BE18</f>
        <v>0</v>
      </c>
      <c r="BF18" s="128">
        <f>'Солар Вест'!BF18+Будник!BF18</f>
        <v>0</v>
      </c>
      <c r="BG18" s="127">
        <f t="shared" si="18"/>
        <v>0</v>
      </c>
      <c r="BH18" s="128">
        <f>'Солар Вест'!BH18+Будник!BH18</f>
        <v>0</v>
      </c>
      <c r="BI18" s="128">
        <f>'Солар Вест'!BI18+Будник!BI18</f>
        <v>0</v>
      </c>
      <c r="BJ18" s="128">
        <f t="shared" si="19"/>
        <v>0</v>
      </c>
      <c r="BK18" s="123">
        <f>'[5]ПП ВДГ'!BK18+'[5]Корсак Л.Р.'!BK18+'[5]Корсак В.І.'!BK18+[5]Конякіна!BK18</f>
        <v>175000</v>
      </c>
      <c r="BL18" s="123">
        <f>'[5]ПП ВДГ'!BL18+'[5]Корсак Л.Р.'!BL18+'[5]Корсак В.І.'!BL18+[5]Конякіна!BL18</f>
        <v>183000</v>
      </c>
      <c r="BM18" s="127">
        <f t="shared" si="20"/>
        <v>358000</v>
      </c>
      <c r="BN18" s="128">
        <f>'Солар Вест'!BN18+Будник!BN18</f>
        <v>0</v>
      </c>
      <c r="BO18" s="128">
        <f>'Солар Вест'!BO18+Будник!BO18</f>
        <v>0</v>
      </c>
      <c r="BP18" s="128">
        <f t="shared" si="21"/>
        <v>0</v>
      </c>
      <c r="BQ18" s="123">
        <f>'[5]ПП ВДГ'!BQ18+'[5]Корсак Л.Р.'!BQ18+'[5]Корсак В.І.'!BQ18+[5]Конякіна!BQ18</f>
        <v>235000</v>
      </c>
      <c r="BR18" s="123">
        <f>'[5]ПП ВДГ'!BR18+'[5]Корсак Л.Р.'!BR18+'[5]Корсак В.І.'!BR18+[5]Конякіна!BR18</f>
        <v>135000</v>
      </c>
      <c r="BS18" s="127">
        <f t="shared" si="22"/>
        <v>370000</v>
      </c>
      <c r="BT18" s="128">
        <f>'Солар Вест'!BT18+Будник!BT18</f>
        <v>0</v>
      </c>
      <c r="BU18" s="128">
        <f>'Солар Вест'!BU18+Будник!BU18</f>
        <v>0</v>
      </c>
      <c r="BV18" s="128">
        <f t="shared" si="23"/>
        <v>0</v>
      </c>
      <c r="BW18" s="123">
        <f t="shared" si="24"/>
        <v>2085000</v>
      </c>
      <c r="BX18" s="123">
        <f t="shared" si="24"/>
        <v>1954000</v>
      </c>
      <c r="BY18" s="127">
        <f t="shared" si="25"/>
        <v>4039000</v>
      </c>
      <c r="BZ18" s="123">
        <f t="shared" si="26"/>
        <v>0</v>
      </c>
      <c r="CA18" s="123">
        <f t="shared" si="26"/>
        <v>0</v>
      </c>
      <c r="CB18" s="128">
        <f t="shared" si="27"/>
        <v>0</v>
      </c>
    </row>
    <row r="19" spans="1:80" x14ac:dyDescent="0.2">
      <c r="A19" s="121"/>
      <c r="B19" s="125" t="s">
        <v>34</v>
      </c>
      <c r="C19" s="126">
        <f>'[5]ПП ВДГ'!C19+'[5]Корсак Л.Р.'!C19+'[5]Корсак В.І.'!C19+[5]Конякіна!C19</f>
        <v>115000</v>
      </c>
      <c r="D19" s="126">
        <f>'[5]ПП ВДГ'!D19+'[5]Корсак Л.Р.'!D19+'[5]Корсак В.І.'!D19+[5]Конякіна!D19</f>
        <v>190000</v>
      </c>
      <c r="E19" s="126">
        <f t="shared" si="0"/>
        <v>305000</v>
      </c>
      <c r="F19" s="126">
        <f>'Солар Вест'!F19+Будник!F19</f>
        <v>0</v>
      </c>
      <c r="G19" s="126">
        <f>'Солар Вест'!G19+Будник!G19</f>
        <v>0</v>
      </c>
      <c r="H19" s="124">
        <f t="shared" si="1"/>
        <v>0</v>
      </c>
      <c r="I19" s="126">
        <f>'[5]ПП ВДГ'!I19+'[5]Корсак Л.Р.'!I19+'[5]Корсак В.І.'!I19+[5]Конякіна!I19</f>
        <v>115000</v>
      </c>
      <c r="J19" s="126">
        <f>'[5]ПП ВДГ'!J19+'[5]Корсак Л.Р.'!J19+'[5]Корсак В.І.'!J19+[5]Конякіна!J19</f>
        <v>190000</v>
      </c>
      <c r="K19" s="126">
        <f t="shared" si="2"/>
        <v>305000</v>
      </c>
      <c r="L19" s="126">
        <f>'Солар Вест'!L19+Будник!L19</f>
        <v>0</v>
      </c>
      <c r="M19" s="126">
        <f>'Солар Вест'!M19+Будник!M19</f>
        <v>0</v>
      </c>
      <c r="N19" s="124">
        <f t="shared" si="3"/>
        <v>0</v>
      </c>
      <c r="O19" s="126">
        <f>'[5]ПП ВДГ'!O19+'[5]Корсак Л.Р.'!O19+'[5]Корсак В.І.'!O19+[5]Конякіна!O19</f>
        <v>115000</v>
      </c>
      <c r="P19" s="126">
        <f>'[5]ПП ВДГ'!P19+'[5]Корсак Л.Р.'!P19+'[5]Корсак В.І.'!P19+[5]Конякіна!P19</f>
        <v>190000</v>
      </c>
      <c r="Q19" s="126">
        <f t="shared" si="4"/>
        <v>305000</v>
      </c>
      <c r="R19" s="126">
        <f>'Солар Вест'!R19+Будник!R19</f>
        <v>0</v>
      </c>
      <c r="S19" s="126">
        <f>'Солар Вест'!S19+Будник!S19</f>
        <v>0</v>
      </c>
      <c r="T19" s="124">
        <f t="shared" si="5"/>
        <v>0</v>
      </c>
      <c r="U19" s="126">
        <f>'[5]ПП ВДГ'!U19+'[5]Корсак Л.Р.'!U19+'[5]Корсак В.І.'!U19+[5]Конякіна!U19</f>
        <v>120000</v>
      </c>
      <c r="V19" s="126">
        <f>'[5]ПП ВДГ'!V19+'[5]Корсак Л.Р.'!V19+'[5]Корсак В.І.'!V19+[5]Конякіна!V19</f>
        <v>97000</v>
      </c>
      <c r="W19" s="126">
        <f t="shared" si="6"/>
        <v>217000</v>
      </c>
      <c r="X19" s="126">
        <f>'Солар Вест'!X19+Будник!X19</f>
        <v>0</v>
      </c>
      <c r="Y19" s="126">
        <f>'Солар Вест'!Y19+Будник!Y19</f>
        <v>0</v>
      </c>
      <c r="Z19" s="124">
        <f t="shared" si="7"/>
        <v>0</v>
      </c>
      <c r="AA19" s="126">
        <f>'[5]ПП ВДГ'!AA19+'[5]Корсак Л.Р.'!AA19+'[5]Корсак В.І.'!AA19+[5]Конякіна!AA19</f>
        <v>115000</v>
      </c>
      <c r="AB19" s="126">
        <f>'[5]ПП ВДГ'!AB19+'[5]Корсак Л.Р.'!AB19+'[5]Корсак В.І.'!AB19+[5]Конякіна!AB19</f>
        <v>190000</v>
      </c>
      <c r="AC19" s="126">
        <f t="shared" si="8"/>
        <v>305000</v>
      </c>
      <c r="AD19" s="126">
        <f>'Солар Вест'!AD19+Будник!AD19</f>
        <v>0</v>
      </c>
      <c r="AE19" s="126">
        <f>'Солар Вест'!AE19+Будник!AE19</f>
        <v>0</v>
      </c>
      <c r="AF19" s="124">
        <f t="shared" si="9"/>
        <v>0</v>
      </c>
      <c r="AG19" s="126">
        <f>'[5]ПП ВДГ'!AG19+'[5]Корсак Л.Р.'!AG19+'[5]Корсак В.І.'!AG19+[5]Конякіна!AG19</f>
        <v>70000</v>
      </c>
      <c r="AH19" s="126">
        <f>'[5]ПП ВДГ'!AH19+'[5]Корсак Л.Р.'!AH19+'[5]Корсак В.І.'!AH19+[5]Конякіна!AH19</f>
        <v>197000</v>
      </c>
      <c r="AI19" s="126">
        <f t="shared" si="10"/>
        <v>267000</v>
      </c>
      <c r="AJ19" s="126">
        <f>'Солар Вест'!AJ19+Будник!AJ19</f>
        <v>0</v>
      </c>
      <c r="AK19" s="126">
        <f>'Солар Вест'!AK19+Будник!AK19</f>
        <v>0</v>
      </c>
      <c r="AL19" s="124">
        <f t="shared" si="11"/>
        <v>0</v>
      </c>
      <c r="AM19" s="126">
        <f>'[5]ПП ВДГ'!AM19+'[5]Корсак Л.Р.'!AM19+'[5]Корсак В.І.'!AM19+[5]Конякіна!AM19</f>
        <v>65000</v>
      </c>
      <c r="AN19" s="126">
        <f>'[5]ПП ВДГ'!AN19+'[5]Корсак Л.Р.'!AN19+'[5]Корсак В.І.'!AN19+[5]Конякіна!AN19</f>
        <v>194000</v>
      </c>
      <c r="AO19" s="126">
        <f t="shared" si="12"/>
        <v>259000</v>
      </c>
      <c r="AP19" s="126">
        <f>'Солар Вест'!AP19+Будник!AP19</f>
        <v>0</v>
      </c>
      <c r="AQ19" s="126">
        <f>'Солар Вест'!AQ19+Будник!AQ19</f>
        <v>0</v>
      </c>
      <c r="AR19" s="124">
        <f t="shared" si="13"/>
        <v>0</v>
      </c>
      <c r="AS19" s="126">
        <f>'[5]ПП ВДГ'!AS19+'[5]Корсак Л.Р.'!AS19+'[5]Корсак В.І.'!AS19+[5]Конякіна!AS19</f>
        <v>115000</v>
      </c>
      <c r="AT19" s="126">
        <f>'[5]ПП ВДГ'!AT19+'[5]Корсак Л.Р.'!AT19+'[5]Корсак В.І.'!AT19+[5]Конякіна!AT19</f>
        <v>190000</v>
      </c>
      <c r="AU19" s="126">
        <f t="shared" si="14"/>
        <v>305000</v>
      </c>
      <c r="AV19" s="126">
        <f>'Солар Вест'!AV19+Будник!AV19</f>
        <v>0</v>
      </c>
      <c r="AW19" s="126">
        <f>'Солар Вест'!AW19+Будник!AW19</f>
        <v>0</v>
      </c>
      <c r="AX19" s="124">
        <f t="shared" si="15"/>
        <v>0</v>
      </c>
      <c r="AY19" s="126">
        <f>'[5]ПП ВДГ'!AY19+'[5]Корсак Л.Р.'!AY19+'[5]Корсак В.І.'!AY19+[5]Конякіна!AY19</f>
        <v>115000</v>
      </c>
      <c r="AZ19" s="126">
        <f>'[5]ПП ВДГ'!AZ19+'[5]Корсак Л.Р.'!AZ19+'[5]Корсак В.І.'!AZ19+[5]Конякіна!AZ19</f>
        <v>190000</v>
      </c>
      <c r="BA19" s="126">
        <f t="shared" si="16"/>
        <v>305000</v>
      </c>
      <c r="BB19" s="126">
        <f>'Солар Вест'!BB19+Будник!BB19</f>
        <v>0</v>
      </c>
      <c r="BC19" s="126">
        <f>'Солар Вест'!BC19+Будник!BC19</f>
        <v>0</v>
      </c>
      <c r="BD19" s="124">
        <f t="shared" si="17"/>
        <v>0</v>
      </c>
      <c r="BE19" s="126">
        <f>'Солар Вест'!BE19+Будник!BE19</f>
        <v>0</v>
      </c>
      <c r="BF19" s="126">
        <f>'Солар Вест'!BF19+Будник!BF19</f>
        <v>0</v>
      </c>
      <c r="BG19" s="126">
        <f t="shared" si="18"/>
        <v>0</v>
      </c>
      <c r="BH19" s="126">
        <f>'Солар Вест'!BH19+Будник!BH19</f>
        <v>0</v>
      </c>
      <c r="BI19" s="126">
        <f>'Солар Вест'!BI19+Будник!BI19</f>
        <v>0</v>
      </c>
      <c r="BJ19" s="124">
        <f t="shared" si="19"/>
        <v>0</v>
      </c>
      <c r="BK19" s="126">
        <f>'[5]ПП ВДГ'!BK19+'[5]Корсак Л.Р.'!BK19+'[5]Корсак В.І.'!BK19+[5]Конякіна!BK19</f>
        <v>66000</v>
      </c>
      <c r="BL19" s="126">
        <f>'[5]ПП ВДГ'!BL19+'[5]Корсак Л.Р.'!BL19+'[5]Корсак В.І.'!BL19+[5]Конякіна!BL19</f>
        <v>183000</v>
      </c>
      <c r="BM19" s="126">
        <f t="shared" si="20"/>
        <v>249000</v>
      </c>
      <c r="BN19" s="126">
        <f>'Солар Вест'!BN19+Будник!BN19</f>
        <v>0</v>
      </c>
      <c r="BO19" s="126">
        <f>'Солар Вест'!BO19+Будник!BO19</f>
        <v>0</v>
      </c>
      <c r="BP19" s="124">
        <f t="shared" si="21"/>
        <v>0</v>
      </c>
      <c r="BQ19" s="126">
        <f>'[5]ПП ВДГ'!BQ19+'[5]Корсак Л.Р.'!BQ19+'[5]Корсак В.І.'!BQ19+[5]Конякіна!BQ19</f>
        <v>135000</v>
      </c>
      <c r="BR19" s="126">
        <f>'[5]ПП ВДГ'!BR19+'[5]Корсак Л.Р.'!BR19+'[5]Корсак В.І.'!BR19+[5]Конякіна!BR19</f>
        <v>133000</v>
      </c>
      <c r="BS19" s="126">
        <f t="shared" si="22"/>
        <v>268000</v>
      </c>
      <c r="BT19" s="126">
        <f>'Солар Вест'!BT19+Будник!BT19</f>
        <v>0</v>
      </c>
      <c r="BU19" s="126">
        <f>'Солар Вест'!BU19+Будник!BU19</f>
        <v>0</v>
      </c>
      <c r="BV19" s="124">
        <f t="shared" si="23"/>
        <v>0</v>
      </c>
      <c r="BW19" s="126">
        <f t="shared" si="24"/>
        <v>1146000</v>
      </c>
      <c r="BX19" s="126">
        <f t="shared" si="24"/>
        <v>1944000</v>
      </c>
      <c r="BY19" s="126">
        <f t="shared" si="25"/>
        <v>3090000</v>
      </c>
      <c r="BZ19" s="126">
        <f t="shared" si="26"/>
        <v>0</v>
      </c>
      <c r="CA19" s="126">
        <f t="shared" si="26"/>
        <v>0</v>
      </c>
      <c r="CB19" s="124">
        <f t="shared" si="27"/>
        <v>0</v>
      </c>
    </row>
    <row r="20" spans="1:80" x14ac:dyDescent="0.2">
      <c r="A20" s="121">
        <v>115</v>
      </c>
      <c r="B20" s="130" t="s">
        <v>35</v>
      </c>
      <c r="C20" s="123">
        <f>'[5]ПП ВДГ'!C20+'[5]Корсак Л.Р.'!C20+'[5]Корсак В.І.'!C20+[5]Конякіна!C20</f>
        <v>0</v>
      </c>
      <c r="D20" s="123">
        <f>'[5]ПП ВДГ'!D20+'[5]Корсак Л.Р.'!D20+'[5]Корсак В.І.'!D20+[5]Конякіна!D20</f>
        <v>0</v>
      </c>
      <c r="E20" s="131">
        <f t="shared" si="0"/>
        <v>0</v>
      </c>
      <c r="F20" s="128">
        <f>'Солар Вест'!F20+Будник!F20</f>
        <v>0</v>
      </c>
      <c r="G20" s="128">
        <f>'Солар Вест'!G20+Будник!G20</f>
        <v>0</v>
      </c>
      <c r="H20" s="132">
        <f t="shared" si="1"/>
        <v>0</v>
      </c>
      <c r="I20" s="123">
        <f>'[5]ПП ВДГ'!I20+'[5]Корсак Л.Р.'!I20+'[5]Корсак В.І.'!I20+[5]Конякіна!I20</f>
        <v>0</v>
      </c>
      <c r="J20" s="123">
        <f>'[5]ПП ВДГ'!J20+'[5]Корсак Л.Р.'!J20+'[5]Корсак В.І.'!J20+[5]Конякіна!J20</f>
        <v>0</v>
      </c>
      <c r="K20" s="131">
        <f t="shared" si="2"/>
        <v>0</v>
      </c>
      <c r="L20" s="128">
        <f>'Солар Вест'!L20+Будник!L20</f>
        <v>0</v>
      </c>
      <c r="M20" s="128">
        <f>'Солар Вест'!M20+Будник!M20</f>
        <v>0</v>
      </c>
      <c r="N20" s="132">
        <f t="shared" si="3"/>
        <v>0</v>
      </c>
      <c r="O20" s="123">
        <f>'[5]ПП ВДГ'!O20+'[5]Корсак Л.Р.'!O20+'[5]Корсак В.І.'!O20+[5]Конякіна!O20</f>
        <v>0</v>
      </c>
      <c r="P20" s="123">
        <f>'[5]ПП ВДГ'!P20+'[5]Корсак Л.Р.'!P20+'[5]Корсак В.І.'!P20+[5]Конякіна!P20</f>
        <v>0</v>
      </c>
      <c r="Q20" s="131">
        <f t="shared" si="4"/>
        <v>0</v>
      </c>
      <c r="R20" s="128">
        <f>'Солар Вест'!R20+Будник!R20</f>
        <v>0</v>
      </c>
      <c r="S20" s="128">
        <f>'Солар Вест'!S20+Будник!S20</f>
        <v>0</v>
      </c>
      <c r="T20" s="132">
        <f t="shared" si="5"/>
        <v>0</v>
      </c>
      <c r="U20" s="123">
        <f>'[5]ПП ВДГ'!U20+'[5]Корсак Л.Р.'!U20+'[5]Корсак В.І.'!U20+[5]Конякіна!U20</f>
        <v>0</v>
      </c>
      <c r="V20" s="123">
        <f>'[5]ПП ВДГ'!V20+'[5]Корсак Л.Р.'!V20+'[5]Корсак В.І.'!V20+[5]Конякіна!V20</f>
        <v>0</v>
      </c>
      <c r="W20" s="131">
        <f t="shared" si="6"/>
        <v>0</v>
      </c>
      <c r="X20" s="128">
        <f>'Солар Вест'!X20+Будник!X20</f>
        <v>0</v>
      </c>
      <c r="Y20" s="128">
        <f>'Солар Вест'!Y20+Будник!Y20</f>
        <v>0</v>
      </c>
      <c r="Z20" s="132">
        <f t="shared" si="7"/>
        <v>0</v>
      </c>
      <c r="AA20" s="123">
        <f>'[5]ПП ВДГ'!AA20+'[5]Корсак Л.Р.'!AA20+'[5]Корсак В.І.'!AA20+[5]Конякіна!AA20</f>
        <v>0</v>
      </c>
      <c r="AB20" s="123">
        <f>'[5]ПП ВДГ'!AB20+'[5]Корсак Л.Р.'!AB20+'[5]Корсак В.І.'!AB20+[5]Конякіна!AB20</f>
        <v>3200</v>
      </c>
      <c r="AC20" s="131">
        <f t="shared" si="8"/>
        <v>3200</v>
      </c>
      <c r="AD20" s="128">
        <f>'Солар Вест'!AD20+Будник!AD20</f>
        <v>0</v>
      </c>
      <c r="AE20" s="128">
        <f>'Солар Вест'!AE20+Будник!AE20</f>
        <v>0</v>
      </c>
      <c r="AF20" s="132">
        <f t="shared" si="9"/>
        <v>0</v>
      </c>
      <c r="AG20" s="123">
        <f>'[5]ПП ВДГ'!AG20+'[5]Корсак Л.Р.'!AG20+'[5]Корсак В.І.'!AG20+[5]Конякіна!AG20</f>
        <v>0</v>
      </c>
      <c r="AH20" s="123">
        <f>'[5]ПП ВДГ'!AH20+'[5]Корсак Л.Р.'!AH20+'[5]Корсак В.І.'!AH20+[5]Конякіна!AH20</f>
        <v>3500</v>
      </c>
      <c r="AI20" s="131">
        <f t="shared" si="10"/>
        <v>3500</v>
      </c>
      <c r="AJ20" s="128">
        <f>'Солар Вест'!AJ20+Будник!AJ20</f>
        <v>0</v>
      </c>
      <c r="AK20" s="128">
        <f>'Солар Вест'!AK20+Будник!AK20</f>
        <v>0</v>
      </c>
      <c r="AL20" s="132">
        <f t="shared" si="11"/>
        <v>0</v>
      </c>
      <c r="AM20" s="123">
        <f>'[5]ПП ВДГ'!AM20+'[5]Корсак Л.Р.'!AM20+'[5]Корсак В.І.'!AM20+[5]Конякіна!AM20</f>
        <v>0</v>
      </c>
      <c r="AN20" s="123">
        <f>'[5]ПП ВДГ'!AN20+'[5]Корсак Л.Р.'!AN20+'[5]Корсак В.І.'!AN20+[5]Конякіна!AN20</f>
        <v>3700</v>
      </c>
      <c r="AO20" s="131">
        <f t="shared" si="12"/>
        <v>3700</v>
      </c>
      <c r="AP20" s="128">
        <f>'Солар Вест'!AP20+Будник!AP20</f>
        <v>0</v>
      </c>
      <c r="AQ20" s="128">
        <f>'Солар Вест'!AQ20+Будник!AQ20</f>
        <v>0</v>
      </c>
      <c r="AR20" s="132">
        <f t="shared" si="13"/>
        <v>0</v>
      </c>
      <c r="AS20" s="123">
        <f>'[5]ПП ВДГ'!AS20+'[5]Корсак Л.Р.'!AS20+'[5]Корсак В.І.'!AS20+[5]Конякіна!AS20</f>
        <v>0</v>
      </c>
      <c r="AT20" s="123">
        <f>'[5]ПП ВДГ'!AT20+'[5]Корсак Л.Р.'!AT20+'[5]Корсак В.І.'!AT20+[5]Конякіна!AT20</f>
        <v>3700</v>
      </c>
      <c r="AU20" s="131">
        <f t="shared" si="14"/>
        <v>3700</v>
      </c>
      <c r="AV20" s="128">
        <f>'Солар Вест'!AV20+Будник!AV20</f>
        <v>0</v>
      </c>
      <c r="AW20" s="128">
        <f>'Солар Вест'!AW20+Будник!AW20</f>
        <v>0</v>
      </c>
      <c r="AX20" s="132">
        <f t="shared" si="15"/>
        <v>0</v>
      </c>
      <c r="AY20" s="123">
        <f>'[5]ПП ВДГ'!AY20+'[5]Корсак Л.Р.'!AY20+'[5]Корсак В.І.'!AY20+[5]Конякіна!AY20</f>
        <v>0</v>
      </c>
      <c r="AZ20" s="123">
        <f>'[5]ПП ВДГ'!AZ20+'[5]Корсак Л.Р.'!AZ20+'[5]Корсак В.І.'!AZ20+[5]Конякіна!AZ20</f>
        <v>0</v>
      </c>
      <c r="BA20" s="131">
        <f t="shared" si="16"/>
        <v>0</v>
      </c>
      <c r="BB20" s="128">
        <f>'Солар Вест'!BB20+Будник!BB20</f>
        <v>0</v>
      </c>
      <c r="BC20" s="128">
        <f>'Солар Вест'!BC20+Будник!BC20</f>
        <v>0</v>
      </c>
      <c r="BD20" s="132">
        <f t="shared" si="17"/>
        <v>0</v>
      </c>
      <c r="BE20" s="128">
        <f>'Солар Вест'!BE20+Будник!BE20</f>
        <v>0</v>
      </c>
      <c r="BF20" s="128">
        <f>'Солар Вест'!BF20+Будник!BF20</f>
        <v>0</v>
      </c>
      <c r="BG20" s="131">
        <f t="shared" si="18"/>
        <v>0</v>
      </c>
      <c r="BH20" s="128">
        <f>'Солар Вест'!BH20+Будник!BH20</f>
        <v>0</v>
      </c>
      <c r="BI20" s="128">
        <f>'Солар Вест'!BI20+Будник!BI20</f>
        <v>0</v>
      </c>
      <c r="BJ20" s="132">
        <f t="shared" si="19"/>
        <v>0</v>
      </c>
      <c r="BK20" s="123">
        <f>'[5]ПП ВДГ'!BK20+'[5]Корсак Л.Р.'!BK20+'[5]Корсак В.І.'!BK20+[5]Конякіна!BK20</f>
        <v>0</v>
      </c>
      <c r="BL20" s="123">
        <f>'[5]ПП ВДГ'!BL20+'[5]Корсак Л.Р.'!BL20+'[5]Корсак В.І.'!BL20+[5]Конякіна!BL20</f>
        <v>0</v>
      </c>
      <c r="BM20" s="131">
        <f t="shared" si="20"/>
        <v>0</v>
      </c>
      <c r="BN20" s="128">
        <f>'Солар Вест'!BN20+Будник!BN20</f>
        <v>0</v>
      </c>
      <c r="BO20" s="128">
        <f>'Солар Вест'!BO20+Будник!BO20</f>
        <v>0</v>
      </c>
      <c r="BP20" s="132">
        <f t="shared" si="21"/>
        <v>0</v>
      </c>
      <c r="BQ20" s="123">
        <f>'[5]ПП ВДГ'!BQ20+'[5]Корсак Л.Р.'!BQ20+'[5]Корсак В.І.'!BQ20+[5]Конякіна!BQ20</f>
        <v>0</v>
      </c>
      <c r="BR20" s="123">
        <f>'[5]ПП ВДГ'!BR20+'[5]Корсак Л.Р.'!BR20+'[5]Корсак В.І.'!BR20+[5]Конякіна!BR20</f>
        <v>0</v>
      </c>
      <c r="BS20" s="131">
        <f t="shared" si="22"/>
        <v>0</v>
      </c>
      <c r="BT20" s="128">
        <f>'Солар Вест'!BT20+Будник!BT20</f>
        <v>0</v>
      </c>
      <c r="BU20" s="128">
        <f>'Солар Вест'!BU20+Будник!BU20</f>
        <v>0</v>
      </c>
      <c r="BV20" s="132">
        <f t="shared" si="23"/>
        <v>0</v>
      </c>
      <c r="BW20" s="123">
        <f t="shared" si="24"/>
        <v>0</v>
      </c>
      <c r="BX20" s="123">
        <f t="shared" si="24"/>
        <v>14100</v>
      </c>
      <c r="BY20" s="131">
        <f t="shared" si="25"/>
        <v>14100</v>
      </c>
      <c r="BZ20" s="123">
        <f t="shared" si="26"/>
        <v>0</v>
      </c>
      <c r="CA20" s="123">
        <f t="shared" si="26"/>
        <v>0</v>
      </c>
      <c r="CB20" s="132">
        <f t="shared" si="27"/>
        <v>0</v>
      </c>
    </row>
    <row r="21" spans="1:80" x14ac:dyDescent="0.2">
      <c r="A21" s="121">
        <v>211</v>
      </c>
      <c r="B21" s="130" t="s">
        <v>36</v>
      </c>
      <c r="C21" s="123">
        <f>'[5]ПП ВДГ'!C21+'[5]Корсак Л.Р.'!C21+'[5]Корсак В.І.'!C21+[5]Конякіна!C21</f>
        <v>0</v>
      </c>
      <c r="D21" s="123">
        <f>'[5]ПП ВДГ'!D21+'[5]Корсак Л.Р.'!D21+'[5]Корсак В.І.'!D21+[5]Конякіна!D21</f>
        <v>0</v>
      </c>
      <c r="E21" s="131">
        <f t="shared" si="0"/>
        <v>0</v>
      </c>
      <c r="F21" s="128">
        <f>'Солар Вест'!F21+Будник!F21</f>
        <v>0</v>
      </c>
      <c r="G21" s="128">
        <f>'Солар Вест'!G21+Будник!G21</f>
        <v>0</v>
      </c>
      <c r="H21" s="132">
        <f t="shared" si="1"/>
        <v>0</v>
      </c>
      <c r="I21" s="123">
        <f>'[5]ПП ВДГ'!I21+'[5]Корсак Л.Р.'!I21+'[5]Корсак В.І.'!I21+[5]Конякіна!I21</f>
        <v>0</v>
      </c>
      <c r="J21" s="123">
        <f>'[5]ПП ВДГ'!J21+'[5]Корсак Л.Р.'!J21+'[5]Корсак В.І.'!J21+[5]Конякіна!J21</f>
        <v>0</v>
      </c>
      <c r="K21" s="131">
        <f t="shared" si="2"/>
        <v>0</v>
      </c>
      <c r="L21" s="128">
        <f>'Солар Вест'!L21+Будник!L21</f>
        <v>0</v>
      </c>
      <c r="M21" s="128">
        <f>'Солар Вест'!M21+Будник!M21</f>
        <v>0</v>
      </c>
      <c r="N21" s="132">
        <f t="shared" si="3"/>
        <v>0</v>
      </c>
      <c r="O21" s="123">
        <f>'[5]ПП ВДГ'!O21+'[5]Корсак Л.Р.'!O21+'[5]Корсак В.І.'!O21+[5]Конякіна!O21</f>
        <v>0</v>
      </c>
      <c r="P21" s="123">
        <f>'[5]ПП ВДГ'!P21+'[5]Корсак Л.Р.'!P21+'[5]Корсак В.І.'!P21+[5]Конякіна!P21</f>
        <v>0</v>
      </c>
      <c r="Q21" s="131">
        <f t="shared" si="4"/>
        <v>0</v>
      </c>
      <c r="R21" s="128">
        <f>'Солар Вест'!R21+Будник!R21</f>
        <v>0</v>
      </c>
      <c r="S21" s="128">
        <f>'Солар Вест'!S21+Будник!S21</f>
        <v>0</v>
      </c>
      <c r="T21" s="132">
        <f t="shared" si="5"/>
        <v>0</v>
      </c>
      <c r="U21" s="123">
        <f>'[5]ПП ВДГ'!U21+'[5]Корсак Л.Р.'!U21+'[5]Корсак В.І.'!U21+[5]Конякіна!U21</f>
        <v>0</v>
      </c>
      <c r="V21" s="123">
        <f>'[5]ПП ВДГ'!V21+'[5]Корсак Л.Р.'!V21+'[5]Корсак В.І.'!V21+[5]Конякіна!V21</f>
        <v>0</v>
      </c>
      <c r="W21" s="131">
        <f t="shared" si="6"/>
        <v>0</v>
      </c>
      <c r="X21" s="128">
        <f>'Солар Вест'!X21+Будник!X21</f>
        <v>0</v>
      </c>
      <c r="Y21" s="128">
        <f>'Солар Вест'!Y21+Будник!Y21</f>
        <v>0</v>
      </c>
      <c r="Z21" s="132">
        <f t="shared" si="7"/>
        <v>0</v>
      </c>
      <c r="AA21" s="123">
        <f>'[5]ПП ВДГ'!AA21+'[5]Корсак Л.Р.'!AA21+'[5]Корсак В.І.'!AA21+[5]Конякіна!AA21</f>
        <v>0</v>
      </c>
      <c r="AB21" s="123">
        <f>'[5]ПП ВДГ'!AB21+'[5]Корсак Л.Р.'!AB21+'[5]Корсак В.І.'!AB21+[5]Конякіна!AB21</f>
        <v>0</v>
      </c>
      <c r="AC21" s="131">
        <f t="shared" si="8"/>
        <v>0</v>
      </c>
      <c r="AD21" s="128">
        <f>'Солар Вест'!AD21+Будник!AD21</f>
        <v>0</v>
      </c>
      <c r="AE21" s="128">
        <f>'Солар Вест'!AE21+Будник!AE21</f>
        <v>0</v>
      </c>
      <c r="AF21" s="132">
        <f t="shared" si="9"/>
        <v>0</v>
      </c>
      <c r="AG21" s="123">
        <f>'[5]ПП ВДГ'!AG21+'[5]Корсак Л.Р.'!AG21+'[5]Корсак В.І.'!AG21+[5]Конякіна!AG21</f>
        <v>0</v>
      </c>
      <c r="AH21" s="123">
        <f>'[5]ПП ВДГ'!AH21+'[5]Корсак Л.Р.'!AH21+'[5]Корсак В.І.'!AH21+[5]Конякіна!AH21</f>
        <v>0</v>
      </c>
      <c r="AI21" s="131">
        <f t="shared" si="10"/>
        <v>0</v>
      </c>
      <c r="AJ21" s="128">
        <f>'Солар Вест'!AJ21+Будник!AJ21</f>
        <v>0</v>
      </c>
      <c r="AK21" s="128">
        <f>'Солар Вест'!AK21+Будник!AK21</f>
        <v>0</v>
      </c>
      <c r="AL21" s="132">
        <f t="shared" si="11"/>
        <v>0</v>
      </c>
      <c r="AM21" s="123">
        <f>'[5]ПП ВДГ'!AM21+'[5]Корсак Л.Р.'!AM21+'[5]Корсак В.І.'!AM21+[5]Конякіна!AM21</f>
        <v>0</v>
      </c>
      <c r="AN21" s="123">
        <f>'[5]ПП ВДГ'!AN21+'[5]Корсак Л.Р.'!AN21+'[5]Корсак В.І.'!AN21+[5]Конякіна!AN21</f>
        <v>0</v>
      </c>
      <c r="AO21" s="131">
        <f t="shared" si="12"/>
        <v>0</v>
      </c>
      <c r="AP21" s="128">
        <f>'Солар Вест'!AP21+Будник!AP21</f>
        <v>0</v>
      </c>
      <c r="AQ21" s="128">
        <f>'Солар Вест'!AQ21+Будник!AQ21</f>
        <v>0</v>
      </c>
      <c r="AR21" s="132">
        <f t="shared" si="13"/>
        <v>0</v>
      </c>
      <c r="AS21" s="123">
        <f>'[5]ПП ВДГ'!AS21+'[5]Корсак Л.Р.'!AS21+'[5]Корсак В.І.'!AS21+[5]Конякіна!AS21</f>
        <v>0</v>
      </c>
      <c r="AT21" s="123">
        <f>'[5]ПП ВДГ'!AT21+'[5]Корсак Л.Р.'!AT21+'[5]Корсак В.І.'!AT21+[5]Конякіна!AT21</f>
        <v>0</v>
      </c>
      <c r="AU21" s="131">
        <f t="shared" si="14"/>
        <v>0</v>
      </c>
      <c r="AV21" s="128">
        <f>'Солар Вест'!AV21+Будник!AV21</f>
        <v>0</v>
      </c>
      <c r="AW21" s="128">
        <f>'Солар Вест'!AW21+Будник!AW21</f>
        <v>0</v>
      </c>
      <c r="AX21" s="132">
        <f t="shared" si="15"/>
        <v>0</v>
      </c>
      <c r="AY21" s="123">
        <f>'[5]ПП ВДГ'!AY21+'[5]Корсак Л.Р.'!AY21+'[5]Корсак В.І.'!AY21+[5]Конякіна!AY21</f>
        <v>0</v>
      </c>
      <c r="AZ21" s="123">
        <f>'[5]ПП ВДГ'!AZ21+'[5]Корсак Л.Р.'!AZ21+'[5]Корсак В.І.'!AZ21+[5]Конякіна!AZ21</f>
        <v>0</v>
      </c>
      <c r="BA21" s="131">
        <f t="shared" si="16"/>
        <v>0</v>
      </c>
      <c r="BB21" s="128">
        <f>'Солар Вест'!BB21+Будник!BB21</f>
        <v>0</v>
      </c>
      <c r="BC21" s="128">
        <f>'Солар Вест'!BC21+Будник!BC21</f>
        <v>0</v>
      </c>
      <c r="BD21" s="132">
        <f t="shared" si="17"/>
        <v>0</v>
      </c>
      <c r="BE21" s="128">
        <f>'Солар Вест'!BE21+Будник!BE21</f>
        <v>0</v>
      </c>
      <c r="BF21" s="128">
        <f>'Солар Вест'!BF21+Будник!BF21</f>
        <v>0</v>
      </c>
      <c r="BG21" s="131">
        <f t="shared" si="18"/>
        <v>0</v>
      </c>
      <c r="BH21" s="128">
        <f>'Солар Вест'!BH21+Будник!BH21</f>
        <v>0</v>
      </c>
      <c r="BI21" s="128">
        <f>'Солар Вест'!BI21+Будник!BI21</f>
        <v>0</v>
      </c>
      <c r="BJ21" s="132">
        <f t="shared" si="19"/>
        <v>0</v>
      </c>
      <c r="BK21" s="123">
        <f>'[5]ПП ВДГ'!BK21+'[5]Корсак Л.Р.'!BK21+'[5]Корсак В.І.'!BK21+[5]Конякіна!BK21</f>
        <v>0</v>
      </c>
      <c r="BL21" s="123">
        <f>'[5]ПП ВДГ'!BL21+'[5]Корсак Л.Р.'!BL21+'[5]Корсак В.І.'!BL21+[5]Конякіна!BL21</f>
        <v>0</v>
      </c>
      <c r="BM21" s="131">
        <f t="shared" si="20"/>
        <v>0</v>
      </c>
      <c r="BN21" s="128">
        <f>'Солар Вест'!BN21+Будник!BN21</f>
        <v>0</v>
      </c>
      <c r="BO21" s="128">
        <f>'Солар Вест'!BO21+Будник!BO21</f>
        <v>0</v>
      </c>
      <c r="BP21" s="132">
        <f t="shared" si="21"/>
        <v>0</v>
      </c>
      <c r="BQ21" s="123">
        <f>'[5]ПП ВДГ'!BQ21+'[5]Корсак Л.Р.'!BQ21+'[5]Корсак В.І.'!BQ21+[5]Конякіна!BQ21</f>
        <v>0</v>
      </c>
      <c r="BR21" s="123">
        <f>'[5]ПП ВДГ'!BR21+'[5]Корсак Л.Р.'!BR21+'[5]Корсак В.І.'!BR21+[5]Конякіна!BR21</f>
        <v>0</v>
      </c>
      <c r="BS21" s="131">
        <f t="shared" si="22"/>
        <v>0</v>
      </c>
      <c r="BT21" s="128">
        <f>'Солар Вест'!BT21+Будник!BT21</f>
        <v>0</v>
      </c>
      <c r="BU21" s="128">
        <f>'Солар Вест'!BU21+Будник!BU21</f>
        <v>0</v>
      </c>
      <c r="BV21" s="132">
        <f t="shared" si="23"/>
        <v>0</v>
      </c>
      <c r="BW21" s="123">
        <f t="shared" si="24"/>
        <v>0</v>
      </c>
      <c r="BX21" s="123">
        <f t="shared" si="24"/>
        <v>0</v>
      </c>
      <c r="BY21" s="131">
        <f t="shared" si="25"/>
        <v>0</v>
      </c>
      <c r="BZ21" s="123">
        <f t="shared" si="26"/>
        <v>0</v>
      </c>
      <c r="CA21" s="123">
        <f t="shared" si="26"/>
        <v>0</v>
      </c>
      <c r="CB21" s="132">
        <f t="shared" si="27"/>
        <v>0</v>
      </c>
    </row>
    <row r="22" spans="1:80" x14ac:dyDescent="0.2">
      <c r="A22" s="121">
        <v>212</v>
      </c>
      <c r="B22" s="130" t="s">
        <v>37</v>
      </c>
      <c r="C22" s="123">
        <f>'[5]ПП ВДГ'!C22+'[5]Корсак Л.Р.'!C22+'[5]Корсак В.І.'!C22+[5]Конякіна!C22</f>
        <v>0</v>
      </c>
      <c r="D22" s="123">
        <f>'[5]ПП ВДГ'!D22+'[5]Корсак Л.Р.'!D22+'[5]Корсак В.І.'!D22+[5]Конякіна!D22</f>
        <v>0</v>
      </c>
      <c r="E22" s="131">
        <f t="shared" si="0"/>
        <v>0</v>
      </c>
      <c r="F22" s="128">
        <f>'Солар Вест'!F22+Будник!F22</f>
        <v>292000</v>
      </c>
      <c r="G22" s="128">
        <f>'Солар Вест'!G22+Будник!G22</f>
        <v>0</v>
      </c>
      <c r="H22" s="132">
        <f t="shared" si="1"/>
        <v>292000</v>
      </c>
      <c r="I22" s="123">
        <f>'[5]ПП ВДГ'!I22+'[5]Корсак Л.Р.'!I22+'[5]Корсак В.І.'!I22+[5]Конякіна!I22</f>
        <v>0</v>
      </c>
      <c r="J22" s="123">
        <f>'[5]ПП ВДГ'!J22+'[5]Корсак Л.Р.'!J22+'[5]Корсак В.І.'!J22+[5]Конякіна!J22</f>
        <v>0</v>
      </c>
      <c r="K22" s="131">
        <f t="shared" si="2"/>
        <v>0</v>
      </c>
      <c r="L22" s="128">
        <f>'Солар Вест'!L22+Будник!L22</f>
        <v>141000</v>
      </c>
      <c r="M22" s="128">
        <f>'Солар Вест'!M22+Будник!M22</f>
        <v>0</v>
      </c>
      <c r="N22" s="132">
        <f t="shared" si="3"/>
        <v>141000</v>
      </c>
      <c r="O22" s="123">
        <f>'[5]ПП ВДГ'!O22+'[5]Корсак Л.Р.'!O22+'[5]Корсак В.І.'!O22+[5]Конякіна!O22</f>
        <v>1700</v>
      </c>
      <c r="P22" s="123">
        <f>'[5]ПП ВДГ'!P22+'[5]Корсак Л.Р.'!P22+'[5]Корсак В.І.'!P22+[5]Конякіна!P22</f>
        <v>0</v>
      </c>
      <c r="Q22" s="131">
        <f t="shared" si="4"/>
        <v>1700</v>
      </c>
      <c r="R22" s="128">
        <f>'Солар Вест'!R22+Будник!R22</f>
        <v>2060000</v>
      </c>
      <c r="S22" s="128">
        <f>'Солар Вест'!S22+Будник!S22</f>
        <v>0</v>
      </c>
      <c r="T22" s="132">
        <f t="shared" si="5"/>
        <v>2060000</v>
      </c>
      <c r="U22" s="123">
        <f>'[5]ПП ВДГ'!U22+'[5]Корсак Л.Р.'!U22+'[5]Корсак В.І.'!U22+[5]Конякіна!U22</f>
        <v>0</v>
      </c>
      <c r="V22" s="123">
        <f>'[5]ПП ВДГ'!V22+'[5]Корсак Л.Р.'!V22+'[5]Корсак В.І.'!V22+[5]Конякіна!V22</f>
        <v>0</v>
      </c>
      <c r="W22" s="131">
        <f t="shared" si="6"/>
        <v>0</v>
      </c>
      <c r="X22" s="128">
        <f>'Солар Вест'!X22+Будник!X22</f>
        <v>0</v>
      </c>
      <c r="Y22" s="128">
        <f>'Солар Вест'!Y22+Будник!Y22</f>
        <v>0</v>
      </c>
      <c r="Z22" s="132">
        <f t="shared" si="7"/>
        <v>0</v>
      </c>
      <c r="AA22" s="123">
        <f>'[5]ПП ВДГ'!AA22+'[5]Корсак Л.Р.'!AA22+'[5]Корсак В.І.'!AA22+[5]Конякіна!AA22</f>
        <v>1800</v>
      </c>
      <c r="AB22" s="123">
        <f>'[5]ПП ВДГ'!AB22+'[5]Корсак Л.Р.'!AB22+'[5]Корсак В.І.'!AB22+[5]Конякіна!AB22</f>
        <v>0</v>
      </c>
      <c r="AC22" s="131">
        <f t="shared" si="8"/>
        <v>1800</v>
      </c>
      <c r="AD22" s="128">
        <f>'Солар Вест'!AD22+Будник!AD22</f>
        <v>72000</v>
      </c>
      <c r="AE22" s="128">
        <f>'Солар Вест'!AE22+Будник!AE22</f>
        <v>0</v>
      </c>
      <c r="AF22" s="132">
        <f t="shared" si="9"/>
        <v>72000</v>
      </c>
      <c r="AG22" s="123">
        <f>'[5]ПП ВДГ'!AG22+'[5]Корсак Л.Р.'!AG22+'[5]Корсак В.І.'!AG22+[5]Конякіна!AG22</f>
        <v>1800</v>
      </c>
      <c r="AH22" s="123">
        <f>'[5]ПП ВДГ'!AH22+'[5]Корсак Л.Р.'!AH22+'[5]Корсак В.І.'!AH22+[5]Конякіна!AH22</f>
        <v>0</v>
      </c>
      <c r="AI22" s="131">
        <f t="shared" si="10"/>
        <v>1800</v>
      </c>
      <c r="AJ22" s="128">
        <f>'Солар Вест'!AJ22+Будник!AJ22</f>
        <v>458000</v>
      </c>
      <c r="AK22" s="128">
        <f>'Солар Вест'!AK22+Будник!AK22</f>
        <v>0</v>
      </c>
      <c r="AL22" s="132">
        <f t="shared" si="11"/>
        <v>458000</v>
      </c>
      <c r="AM22" s="123">
        <f>'[5]ПП ВДГ'!AM22+'[5]Корсак Л.Р.'!AM22+'[5]Корсак В.І.'!AM22+[5]Конякіна!AM22</f>
        <v>1750</v>
      </c>
      <c r="AN22" s="123">
        <f>'[5]ПП ВДГ'!AN22+'[5]Корсак Л.Р.'!AN22+'[5]Корсак В.І.'!AN22+[5]Конякіна!AN22</f>
        <v>0</v>
      </c>
      <c r="AO22" s="131">
        <f t="shared" si="12"/>
        <v>1750</v>
      </c>
      <c r="AP22" s="128">
        <f>'Солар Вест'!AP22+Будник!AP22</f>
        <v>241100</v>
      </c>
      <c r="AQ22" s="128">
        <f>'Солар Вест'!AQ22+Будник!AQ22</f>
        <v>0</v>
      </c>
      <c r="AR22" s="132">
        <f t="shared" si="13"/>
        <v>241100</v>
      </c>
      <c r="AS22" s="123">
        <f>'[5]ПП ВДГ'!AS22+'[5]Корсак Л.Р.'!AS22+'[5]Корсак В.І.'!AS22+[5]Конякіна!AS22</f>
        <v>1800</v>
      </c>
      <c r="AT22" s="123">
        <f>'[5]ПП ВДГ'!AT22+'[5]Корсак Л.Р.'!AT22+'[5]Корсак В.І.'!AT22+[5]Конякіна!AT22</f>
        <v>0</v>
      </c>
      <c r="AU22" s="131">
        <f t="shared" si="14"/>
        <v>1800</v>
      </c>
      <c r="AV22" s="128">
        <f>'Солар Вест'!AV22+Будник!AV22</f>
        <v>0</v>
      </c>
      <c r="AW22" s="128">
        <f>'Солар Вест'!AW22+Будник!AW22</f>
        <v>0</v>
      </c>
      <c r="AX22" s="132">
        <f t="shared" si="15"/>
        <v>0</v>
      </c>
      <c r="AY22" s="123">
        <f>'[5]ПП ВДГ'!AY22+'[5]Корсак Л.Р.'!AY22+'[5]Корсак В.І.'!AY22+[5]Конякіна!AY22</f>
        <v>1700</v>
      </c>
      <c r="AZ22" s="123">
        <f>'[5]ПП ВДГ'!AZ22+'[5]Корсак Л.Р.'!AZ22+'[5]Корсак В.І.'!AZ22+[5]Конякіна!AZ22</f>
        <v>0</v>
      </c>
      <c r="BA22" s="131">
        <f t="shared" si="16"/>
        <v>1700</v>
      </c>
      <c r="BB22" s="128">
        <f>'Солар Вест'!BB22+Будник!BB22</f>
        <v>0</v>
      </c>
      <c r="BC22" s="128">
        <f>'Солар Вест'!BC22+Будник!BC22</f>
        <v>0</v>
      </c>
      <c r="BD22" s="132">
        <f t="shared" si="17"/>
        <v>0</v>
      </c>
      <c r="BE22" s="128">
        <f>'Солар Вест'!BE22+Будник!BE22</f>
        <v>0</v>
      </c>
      <c r="BF22" s="128">
        <f>'Солар Вест'!BF22+Будник!BF22</f>
        <v>0</v>
      </c>
      <c r="BG22" s="131">
        <f t="shared" si="18"/>
        <v>0</v>
      </c>
      <c r="BH22" s="128">
        <f>'Солар Вест'!BH22+Будник!BH22</f>
        <v>0</v>
      </c>
      <c r="BI22" s="128">
        <f>'Солар Вест'!BI22+Будник!BI22</f>
        <v>0</v>
      </c>
      <c r="BJ22" s="132">
        <f t="shared" si="19"/>
        <v>0</v>
      </c>
      <c r="BK22" s="123">
        <f>'[5]ПП ВДГ'!BK22+'[5]Корсак Л.Р.'!BK22+'[5]Корсак В.І.'!BK22+[5]Конякіна!BK22</f>
        <v>1850</v>
      </c>
      <c r="BL22" s="123">
        <f>'[5]ПП ВДГ'!BL22+'[5]Корсак Л.Р.'!BL22+'[5]Корсак В.І.'!BL22+[5]Конякіна!BL22</f>
        <v>0</v>
      </c>
      <c r="BM22" s="131">
        <f t="shared" si="20"/>
        <v>1850</v>
      </c>
      <c r="BN22" s="128">
        <f>'Солар Вест'!BN22+Будник!BN22</f>
        <v>0</v>
      </c>
      <c r="BO22" s="128">
        <f>'Солар Вест'!BO22+Будник!BO22</f>
        <v>0</v>
      </c>
      <c r="BP22" s="132">
        <f t="shared" si="21"/>
        <v>0</v>
      </c>
      <c r="BQ22" s="123">
        <f>'[5]ПП ВДГ'!BQ22+'[5]Корсак Л.Р.'!BQ22+'[5]Корсак В.І.'!BQ22+[5]Конякіна!BQ22</f>
        <v>1900</v>
      </c>
      <c r="BR22" s="123">
        <f>'[5]ПП ВДГ'!BR22+'[5]Корсак Л.Р.'!BR22+'[5]Корсак В.І.'!BR22+[5]Конякіна!BR22</f>
        <v>0</v>
      </c>
      <c r="BS22" s="131">
        <f t="shared" si="22"/>
        <v>1900</v>
      </c>
      <c r="BT22" s="128">
        <f>'Солар Вест'!BT22+Будник!BT22</f>
        <v>0</v>
      </c>
      <c r="BU22" s="128">
        <f>'Солар Вест'!BU22+Будник!BU22</f>
        <v>0</v>
      </c>
      <c r="BV22" s="132">
        <f t="shared" si="23"/>
        <v>0</v>
      </c>
      <c r="BW22" s="123">
        <f t="shared" si="24"/>
        <v>14300</v>
      </c>
      <c r="BX22" s="123">
        <f t="shared" si="24"/>
        <v>0</v>
      </c>
      <c r="BY22" s="131">
        <f t="shared" si="25"/>
        <v>14300</v>
      </c>
      <c r="BZ22" s="123">
        <f t="shared" si="26"/>
        <v>3264100</v>
      </c>
      <c r="CA22" s="123">
        <f t="shared" si="26"/>
        <v>0</v>
      </c>
      <c r="CB22" s="132">
        <f t="shared" si="27"/>
        <v>3264100</v>
      </c>
    </row>
    <row r="23" spans="1:80" ht="25.5" x14ac:dyDescent="0.2">
      <c r="A23" s="121"/>
      <c r="B23" s="125" t="s">
        <v>38</v>
      </c>
      <c r="C23" s="126">
        <f>'[5]ПП ВДГ'!C23+'[5]Корсак Л.Р.'!C23+'[5]Корсак В.І.'!C23+[5]Конякіна!C23</f>
        <v>0</v>
      </c>
      <c r="D23" s="126">
        <f>'[5]ПП ВДГ'!D23+'[5]Корсак Л.Р.'!D23+'[5]Корсак В.І.'!D23+[5]Конякіна!D23</f>
        <v>0</v>
      </c>
      <c r="E23" s="126">
        <f t="shared" si="0"/>
        <v>0</v>
      </c>
      <c r="F23" s="126">
        <f>'Солар Вест'!F23+Будник!F23</f>
        <v>0</v>
      </c>
      <c r="G23" s="126">
        <f>'Солар Вест'!G23+Будник!G23</f>
        <v>0</v>
      </c>
      <c r="H23" s="124">
        <f t="shared" si="1"/>
        <v>0</v>
      </c>
      <c r="I23" s="126">
        <f>'[5]ПП ВДГ'!I23+'[5]Корсак Л.Р.'!I23+'[5]Корсак В.І.'!I23+[5]Конякіна!I23</f>
        <v>0</v>
      </c>
      <c r="J23" s="126">
        <f>'[5]ПП ВДГ'!J23+'[5]Корсак Л.Р.'!J23+'[5]Корсак В.І.'!J23+[5]Конякіна!J23</f>
        <v>0</v>
      </c>
      <c r="K23" s="126">
        <f t="shared" si="2"/>
        <v>0</v>
      </c>
      <c r="L23" s="126">
        <f>'Солар Вест'!L23+Будник!L23</f>
        <v>0</v>
      </c>
      <c r="M23" s="126">
        <f>'Солар Вест'!M23+Будник!M23</f>
        <v>0</v>
      </c>
      <c r="N23" s="124">
        <f t="shared" si="3"/>
        <v>0</v>
      </c>
      <c r="O23" s="126">
        <f>'[5]ПП ВДГ'!O23+'[5]Корсак Л.Р.'!O23+'[5]Корсак В.І.'!O23+[5]Конякіна!O23</f>
        <v>1700</v>
      </c>
      <c r="P23" s="126">
        <f>'[5]ПП ВДГ'!P23+'[5]Корсак Л.Р.'!P23+'[5]Корсак В.І.'!P23+[5]Конякіна!P23</f>
        <v>0</v>
      </c>
      <c r="Q23" s="126">
        <f t="shared" si="4"/>
        <v>1700</v>
      </c>
      <c r="R23" s="126">
        <f>'Солар Вест'!R23+Будник!R23</f>
        <v>0</v>
      </c>
      <c r="S23" s="126">
        <f>'Солар Вест'!S23+Будник!S23</f>
        <v>0</v>
      </c>
      <c r="T23" s="124">
        <f t="shared" si="5"/>
        <v>0</v>
      </c>
      <c r="U23" s="126">
        <f>'[5]ПП ВДГ'!U23+'[5]Корсак Л.Р.'!U23+'[5]Корсак В.І.'!U23+[5]Конякіна!U23</f>
        <v>0</v>
      </c>
      <c r="V23" s="126">
        <f>'[5]ПП ВДГ'!V23+'[5]Корсак Л.Р.'!V23+'[5]Корсак В.І.'!V23+[5]Конякіна!V23</f>
        <v>0</v>
      </c>
      <c r="W23" s="126">
        <f t="shared" si="6"/>
        <v>0</v>
      </c>
      <c r="X23" s="126">
        <f>'Солар Вест'!X23+Будник!X23</f>
        <v>0</v>
      </c>
      <c r="Y23" s="126">
        <f>'Солар Вест'!Y23+Будник!Y23</f>
        <v>0</v>
      </c>
      <c r="Z23" s="124">
        <f t="shared" si="7"/>
        <v>0</v>
      </c>
      <c r="AA23" s="126">
        <f>'[5]ПП ВДГ'!AA23+'[5]Корсак Л.Р.'!AA23+'[5]Корсак В.І.'!AA23+[5]Конякіна!AA23</f>
        <v>1800</v>
      </c>
      <c r="AB23" s="126">
        <f>'[5]ПП ВДГ'!AB23+'[5]Корсак Л.Р.'!AB23+'[5]Корсак В.І.'!AB23+[5]Конякіна!AB23</f>
        <v>0</v>
      </c>
      <c r="AC23" s="126">
        <f t="shared" si="8"/>
        <v>1800</v>
      </c>
      <c r="AD23" s="126">
        <f>'Солар Вест'!AD23+Будник!AD23</f>
        <v>0</v>
      </c>
      <c r="AE23" s="126">
        <f>'Солар Вест'!AE23+Будник!AE23</f>
        <v>0</v>
      </c>
      <c r="AF23" s="124">
        <f t="shared" si="9"/>
        <v>0</v>
      </c>
      <c r="AG23" s="126">
        <f>'[5]ПП ВДГ'!AG23+'[5]Корсак Л.Р.'!AG23+'[5]Корсак В.І.'!AG23+[5]Конякіна!AG23</f>
        <v>1800</v>
      </c>
      <c r="AH23" s="126">
        <f>'[5]ПП ВДГ'!AH23+'[5]Корсак Л.Р.'!AH23+'[5]Корсак В.І.'!AH23+[5]Конякіна!AH23</f>
        <v>0</v>
      </c>
      <c r="AI23" s="126">
        <f t="shared" si="10"/>
        <v>1800</v>
      </c>
      <c r="AJ23" s="126">
        <f>'Солар Вест'!AJ23+Будник!AJ23</f>
        <v>0</v>
      </c>
      <c r="AK23" s="126">
        <f>'Солар Вест'!AK23+Будник!AK23</f>
        <v>0</v>
      </c>
      <c r="AL23" s="124">
        <f t="shared" si="11"/>
        <v>0</v>
      </c>
      <c r="AM23" s="126">
        <f>'[5]ПП ВДГ'!AM23+'[5]Корсак Л.Р.'!AM23+'[5]Корсак В.І.'!AM23+[5]Конякіна!AM23</f>
        <v>1750</v>
      </c>
      <c r="AN23" s="126">
        <f>'[5]ПП ВДГ'!AN23+'[5]Корсак Л.Р.'!AN23+'[5]Корсак В.І.'!AN23+[5]Конякіна!AN23</f>
        <v>0</v>
      </c>
      <c r="AO23" s="126">
        <f t="shared" si="12"/>
        <v>1750</v>
      </c>
      <c r="AP23" s="126">
        <f>'Солар Вест'!AP23+Будник!AP23</f>
        <v>0</v>
      </c>
      <c r="AQ23" s="126">
        <f>'Солар Вест'!AQ23+Будник!AQ23</f>
        <v>0</v>
      </c>
      <c r="AR23" s="124">
        <f t="shared" si="13"/>
        <v>0</v>
      </c>
      <c r="AS23" s="126">
        <f>'[5]ПП ВДГ'!AS23+'[5]Корсак Л.Р.'!AS23+'[5]Корсак В.І.'!AS23+[5]Конякіна!AS23</f>
        <v>1800</v>
      </c>
      <c r="AT23" s="126">
        <f>'[5]ПП ВДГ'!AT23+'[5]Корсак Л.Р.'!AT23+'[5]Корсак В.І.'!AT23+[5]Конякіна!AT23</f>
        <v>0</v>
      </c>
      <c r="AU23" s="126">
        <f t="shared" si="14"/>
        <v>1800</v>
      </c>
      <c r="AV23" s="126">
        <f>'Солар Вест'!AV23+Будник!AV23</f>
        <v>0</v>
      </c>
      <c r="AW23" s="126">
        <f>'Солар Вест'!AW23+Будник!AW23</f>
        <v>0</v>
      </c>
      <c r="AX23" s="124">
        <f t="shared" si="15"/>
        <v>0</v>
      </c>
      <c r="AY23" s="126">
        <f>'[5]ПП ВДГ'!AY23+'[5]Корсак Л.Р.'!AY23+'[5]Корсак В.І.'!AY23+[5]Конякіна!AY23</f>
        <v>1700</v>
      </c>
      <c r="AZ23" s="126">
        <f>'[5]ПП ВДГ'!AZ23+'[5]Корсак Л.Р.'!AZ23+'[5]Корсак В.І.'!AZ23+[5]Конякіна!AZ23</f>
        <v>0</v>
      </c>
      <c r="BA23" s="126">
        <f t="shared" si="16"/>
        <v>1700</v>
      </c>
      <c r="BB23" s="126">
        <f>'Солар Вест'!BB23+Будник!BB23</f>
        <v>0</v>
      </c>
      <c r="BC23" s="126">
        <f>'Солар Вест'!BC23+Будник!BC23</f>
        <v>0</v>
      </c>
      <c r="BD23" s="124">
        <f t="shared" si="17"/>
        <v>0</v>
      </c>
      <c r="BE23" s="126">
        <f>'Солар Вест'!BE23+Будник!BE23</f>
        <v>0</v>
      </c>
      <c r="BF23" s="126">
        <f>'Солар Вест'!BF23+Будник!BF23</f>
        <v>0</v>
      </c>
      <c r="BG23" s="126">
        <f t="shared" si="18"/>
        <v>0</v>
      </c>
      <c r="BH23" s="126">
        <f>'Солар Вест'!BH23+Будник!BH23</f>
        <v>0</v>
      </c>
      <c r="BI23" s="126">
        <f>'Солар Вест'!BI23+Будник!BI23</f>
        <v>0</v>
      </c>
      <c r="BJ23" s="124">
        <f t="shared" si="19"/>
        <v>0</v>
      </c>
      <c r="BK23" s="126">
        <f>'[5]ПП ВДГ'!BK23+'[5]Корсак Л.Р.'!BK23+'[5]Корсак В.І.'!BK23+[5]Конякіна!BK23</f>
        <v>1850</v>
      </c>
      <c r="BL23" s="126">
        <f>'[5]ПП ВДГ'!BL23+'[5]Корсак Л.Р.'!BL23+'[5]Корсак В.І.'!BL23+[5]Конякіна!BL23</f>
        <v>0</v>
      </c>
      <c r="BM23" s="126">
        <f t="shared" si="20"/>
        <v>1850</v>
      </c>
      <c r="BN23" s="126">
        <f>'Солар Вест'!BN23+Будник!BN23</f>
        <v>0</v>
      </c>
      <c r="BO23" s="126">
        <f>'Солар Вест'!BO23+Будник!BO23</f>
        <v>0</v>
      </c>
      <c r="BP23" s="124">
        <f t="shared" si="21"/>
        <v>0</v>
      </c>
      <c r="BQ23" s="126">
        <f>'[5]ПП ВДГ'!BQ23+'[5]Корсак Л.Р.'!BQ23+'[5]Корсак В.І.'!BQ23+[5]Конякіна!BQ23</f>
        <v>1900</v>
      </c>
      <c r="BR23" s="126">
        <f>'[5]ПП ВДГ'!BR23+'[5]Корсак Л.Р.'!BR23+'[5]Корсак В.І.'!BR23+[5]Конякіна!BR23</f>
        <v>0</v>
      </c>
      <c r="BS23" s="126">
        <f t="shared" si="22"/>
        <v>1900</v>
      </c>
      <c r="BT23" s="126">
        <f>'Солар Вест'!BT23+Будник!BT23</f>
        <v>0</v>
      </c>
      <c r="BU23" s="126">
        <f>'Солар Вест'!BU23+Будник!BU23</f>
        <v>0</v>
      </c>
      <c r="BV23" s="124">
        <f t="shared" si="23"/>
        <v>0</v>
      </c>
      <c r="BW23" s="126">
        <f t="shared" si="24"/>
        <v>14300</v>
      </c>
      <c r="BX23" s="126">
        <f t="shared" si="24"/>
        <v>0</v>
      </c>
      <c r="BY23" s="126">
        <f t="shared" si="25"/>
        <v>14300</v>
      </c>
      <c r="BZ23" s="126">
        <f t="shared" si="26"/>
        <v>0</v>
      </c>
      <c r="CA23" s="126">
        <f t="shared" si="26"/>
        <v>0</v>
      </c>
      <c r="CB23" s="124">
        <f t="shared" si="27"/>
        <v>0</v>
      </c>
    </row>
    <row r="24" spans="1:80" x14ac:dyDescent="0.2">
      <c r="A24" s="121">
        <v>213</v>
      </c>
      <c r="B24" s="130" t="s">
        <v>39</v>
      </c>
      <c r="C24" s="123">
        <f>'[5]ПП ВДГ'!C24+'[5]Корсак Л.Р.'!C24+'[5]Корсак В.І.'!C24+[5]Конякіна!C24</f>
        <v>0</v>
      </c>
      <c r="D24" s="123">
        <f>'[5]ПП ВДГ'!D24+'[5]Корсак Л.Р.'!D24+'[5]Корсак В.І.'!D24+[5]Конякіна!D24</f>
        <v>0</v>
      </c>
      <c r="E24" s="131">
        <f t="shared" si="0"/>
        <v>0</v>
      </c>
      <c r="F24" s="128">
        <f>'Солар Вест'!F24+Будник!F24</f>
        <v>0</v>
      </c>
      <c r="G24" s="128">
        <f>'Солар Вест'!G24+Будник!G24</f>
        <v>0</v>
      </c>
      <c r="H24" s="132">
        <f t="shared" si="1"/>
        <v>0</v>
      </c>
      <c r="I24" s="123">
        <f>'[5]ПП ВДГ'!I24+'[5]Корсак Л.Р.'!I24+'[5]Корсак В.І.'!I24+[5]Конякіна!I24</f>
        <v>0</v>
      </c>
      <c r="J24" s="123">
        <f>'[5]ПП ВДГ'!J24+'[5]Корсак Л.Р.'!J24+'[5]Корсак В.І.'!J24+[5]Конякіна!J24</f>
        <v>0</v>
      </c>
      <c r="K24" s="131">
        <f t="shared" si="2"/>
        <v>0</v>
      </c>
      <c r="L24" s="128">
        <f>'Солар Вест'!L24+Будник!L24</f>
        <v>0</v>
      </c>
      <c r="M24" s="128">
        <f>'Солар Вест'!M24+Будник!M24</f>
        <v>0</v>
      </c>
      <c r="N24" s="132">
        <f t="shared" si="3"/>
        <v>0</v>
      </c>
      <c r="O24" s="123">
        <f>'[5]ПП ВДГ'!O24+'[5]Корсак Л.Р.'!O24+'[5]Корсак В.І.'!O24+[5]Конякіна!O24</f>
        <v>0</v>
      </c>
      <c r="P24" s="123">
        <f>'[5]ПП ВДГ'!P24+'[5]Корсак Л.Р.'!P24+'[5]Корсак В.І.'!P24+[5]Конякіна!P24</f>
        <v>0</v>
      </c>
      <c r="Q24" s="131">
        <f t="shared" si="4"/>
        <v>0</v>
      </c>
      <c r="R24" s="128">
        <f>'Солар Вест'!R24+Будник!R24</f>
        <v>0</v>
      </c>
      <c r="S24" s="128">
        <f>'Солар Вест'!S24+Будник!S24</f>
        <v>0</v>
      </c>
      <c r="T24" s="132">
        <f t="shared" si="5"/>
        <v>0</v>
      </c>
      <c r="U24" s="123">
        <f>'[5]ПП ВДГ'!U24+'[5]Корсак Л.Р.'!U24+'[5]Корсак В.І.'!U24+[5]Конякіна!U24</f>
        <v>0</v>
      </c>
      <c r="V24" s="123">
        <f>'[5]ПП ВДГ'!V24+'[5]Корсак Л.Р.'!V24+'[5]Корсак В.І.'!V24+[5]Конякіна!V24</f>
        <v>0</v>
      </c>
      <c r="W24" s="131">
        <f t="shared" si="6"/>
        <v>0</v>
      </c>
      <c r="X24" s="128">
        <f>'Солар Вест'!X24+Будник!X24</f>
        <v>0</v>
      </c>
      <c r="Y24" s="128">
        <f>'Солар Вест'!Y24+Будник!Y24</f>
        <v>0</v>
      </c>
      <c r="Z24" s="132">
        <f t="shared" si="7"/>
        <v>0</v>
      </c>
      <c r="AA24" s="123">
        <f>'[5]ПП ВДГ'!AA24+'[5]Корсак Л.Р.'!AA24+'[5]Корсак В.І.'!AA24+[5]Конякіна!AA24</f>
        <v>0</v>
      </c>
      <c r="AB24" s="123">
        <f>'[5]ПП ВДГ'!AB24+'[5]Корсак Л.Р.'!AB24+'[5]Корсак В.І.'!AB24+[5]Конякіна!AB24</f>
        <v>0</v>
      </c>
      <c r="AC24" s="131">
        <f t="shared" si="8"/>
        <v>0</v>
      </c>
      <c r="AD24" s="128">
        <f>'Солар Вест'!AD24+Будник!AD24</f>
        <v>0</v>
      </c>
      <c r="AE24" s="128">
        <f>'Солар Вест'!AE24+Будник!AE24</f>
        <v>0</v>
      </c>
      <c r="AF24" s="132">
        <f t="shared" si="9"/>
        <v>0</v>
      </c>
      <c r="AG24" s="123">
        <f>'[5]ПП ВДГ'!AG24+'[5]Корсак Л.Р.'!AG24+'[5]Корсак В.І.'!AG24+[5]Конякіна!AG24</f>
        <v>0</v>
      </c>
      <c r="AH24" s="123">
        <f>'[5]ПП ВДГ'!AH24+'[5]Корсак Л.Р.'!AH24+'[5]Корсак В.І.'!AH24+[5]Конякіна!AH24</f>
        <v>0</v>
      </c>
      <c r="AI24" s="131">
        <f t="shared" si="10"/>
        <v>0</v>
      </c>
      <c r="AJ24" s="128">
        <f>'Солар Вест'!AJ24+Будник!AJ24</f>
        <v>0</v>
      </c>
      <c r="AK24" s="128">
        <f>'Солар Вест'!AK24+Будник!AK24</f>
        <v>0</v>
      </c>
      <c r="AL24" s="132">
        <f t="shared" si="11"/>
        <v>0</v>
      </c>
      <c r="AM24" s="123">
        <f>'[5]ПП ВДГ'!AM24+'[5]Корсак Л.Р.'!AM24+'[5]Корсак В.І.'!AM24+[5]Конякіна!AM24</f>
        <v>0</v>
      </c>
      <c r="AN24" s="123">
        <f>'[5]ПП ВДГ'!AN24+'[5]Корсак Л.Р.'!AN24+'[5]Корсак В.І.'!AN24+[5]Конякіна!AN24</f>
        <v>0</v>
      </c>
      <c r="AO24" s="131">
        <f t="shared" si="12"/>
        <v>0</v>
      </c>
      <c r="AP24" s="128">
        <f>'Солар Вест'!AP24+Будник!AP24</f>
        <v>0</v>
      </c>
      <c r="AQ24" s="128">
        <f>'Солар Вест'!AQ24+Будник!AQ24</f>
        <v>0</v>
      </c>
      <c r="AR24" s="132">
        <f t="shared" si="13"/>
        <v>0</v>
      </c>
      <c r="AS24" s="123">
        <f>'[5]ПП ВДГ'!AS24+'[5]Корсак Л.Р.'!AS24+'[5]Корсак В.І.'!AS24+[5]Конякіна!AS24</f>
        <v>0</v>
      </c>
      <c r="AT24" s="123">
        <f>'[5]ПП ВДГ'!AT24+'[5]Корсак Л.Р.'!AT24+'[5]Корсак В.І.'!AT24+[5]Конякіна!AT24</f>
        <v>0</v>
      </c>
      <c r="AU24" s="131">
        <f t="shared" si="14"/>
        <v>0</v>
      </c>
      <c r="AV24" s="128">
        <f>'Солар Вест'!AV24+Будник!AV24</f>
        <v>0</v>
      </c>
      <c r="AW24" s="128">
        <f>'Солар Вест'!AW24+Будник!AW24</f>
        <v>2500</v>
      </c>
      <c r="AX24" s="132">
        <f t="shared" si="15"/>
        <v>2500</v>
      </c>
      <c r="AY24" s="123">
        <f>'[5]ПП ВДГ'!AY24+'[5]Корсак Л.Р.'!AY24+'[5]Корсак В.І.'!AY24+[5]Конякіна!AY24</f>
        <v>0</v>
      </c>
      <c r="AZ24" s="123">
        <f>'[5]ПП ВДГ'!AZ24+'[5]Корсак Л.Р.'!AZ24+'[5]Корсак В.І.'!AZ24+[5]Конякіна!AZ24</f>
        <v>0</v>
      </c>
      <c r="BA24" s="131">
        <f t="shared" si="16"/>
        <v>0</v>
      </c>
      <c r="BB24" s="128">
        <f>'Солар Вест'!BB24+Будник!BB24</f>
        <v>0</v>
      </c>
      <c r="BC24" s="128">
        <f>'Солар Вест'!BC24+Будник!BC24</f>
        <v>500</v>
      </c>
      <c r="BD24" s="132">
        <f t="shared" si="17"/>
        <v>500</v>
      </c>
      <c r="BE24" s="128">
        <f>'Солар Вест'!BE24+Будник!BE24</f>
        <v>0</v>
      </c>
      <c r="BF24" s="128">
        <f>'Солар Вест'!BF24+Будник!BF24</f>
        <v>0</v>
      </c>
      <c r="BG24" s="131">
        <f t="shared" si="18"/>
        <v>0</v>
      </c>
      <c r="BH24" s="128">
        <f>'Солар Вест'!BH24+Будник!BH24</f>
        <v>0</v>
      </c>
      <c r="BI24" s="128">
        <f>'Солар Вест'!BI24+Будник!BI24</f>
        <v>0</v>
      </c>
      <c r="BJ24" s="132">
        <f t="shared" si="19"/>
        <v>0</v>
      </c>
      <c r="BK24" s="123">
        <f>'[5]ПП ВДГ'!BK24+'[5]Корсак Л.Р.'!BK24+'[5]Корсак В.І.'!BK24+[5]Конякіна!BK24</f>
        <v>0</v>
      </c>
      <c r="BL24" s="123">
        <f>'[5]ПП ВДГ'!BL24+'[5]Корсак Л.Р.'!BL24+'[5]Корсак В.І.'!BL24+[5]Конякіна!BL24</f>
        <v>0</v>
      </c>
      <c r="BM24" s="131">
        <f t="shared" si="20"/>
        <v>0</v>
      </c>
      <c r="BN24" s="128">
        <f>'Солар Вест'!BN24+Будник!BN24</f>
        <v>0</v>
      </c>
      <c r="BO24" s="128">
        <f>'Солар Вест'!BO24+Будник!BO24</f>
        <v>0</v>
      </c>
      <c r="BP24" s="132">
        <f t="shared" si="21"/>
        <v>0</v>
      </c>
      <c r="BQ24" s="123">
        <f>'[5]ПП ВДГ'!BQ24+'[5]Корсак Л.Р.'!BQ24+'[5]Корсак В.І.'!BQ24+[5]Конякіна!BQ24</f>
        <v>0</v>
      </c>
      <c r="BR24" s="123">
        <f>'[5]ПП ВДГ'!BR24+'[5]Корсак Л.Р.'!BR24+'[5]Корсак В.І.'!BR24+[5]Конякіна!BR24</f>
        <v>0</v>
      </c>
      <c r="BS24" s="131">
        <f t="shared" si="22"/>
        <v>0</v>
      </c>
      <c r="BT24" s="128">
        <f>'Солар Вест'!BT24+Будник!BT24</f>
        <v>0</v>
      </c>
      <c r="BU24" s="128">
        <f>'Солар Вест'!BU24+Будник!BU24</f>
        <v>0</v>
      </c>
      <c r="BV24" s="132">
        <f t="shared" si="23"/>
        <v>0</v>
      </c>
      <c r="BW24" s="123">
        <f t="shared" si="24"/>
        <v>0</v>
      </c>
      <c r="BX24" s="123">
        <f t="shared" si="24"/>
        <v>0</v>
      </c>
      <c r="BY24" s="131">
        <f t="shared" si="25"/>
        <v>0</v>
      </c>
      <c r="BZ24" s="123">
        <f t="shared" si="26"/>
        <v>0</v>
      </c>
      <c r="CA24" s="123">
        <f t="shared" si="26"/>
        <v>3000</v>
      </c>
      <c r="CB24" s="132">
        <f t="shared" si="27"/>
        <v>3000</v>
      </c>
    </row>
    <row r="25" spans="1:80" ht="25.5" x14ac:dyDescent="0.2">
      <c r="A25" s="121"/>
      <c r="B25" s="125" t="s">
        <v>40</v>
      </c>
      <c r="C25" s="126">
        <f>'[5]ПП ВДГ'!C25+'[5]Корсак Л.Р.'!C25+'[5]Корсак В.І.'!C25+[5]Конякіна!C25</f>
        <v>0</v>
      </c>
      <c r="D25" s="126">
        <f>'[5]ПП ВДГ'!D25+'[5]Корсак Л.Р.'!D25+'[5]Корсак В.І.'!D25+[5]Конякіна!D25</f>
        <v>0</v>
      </c>
      <c r="E25" s="126">
        <f t="shared" si="0"/>
        <v>0</v>
      </c>
      <c r="F25" s="126">
        <f>'Солар Вест'!F25+Будник!F25</f>
        <v>0</v>
      </c>
      <c r="G25" s="126">
        <f>'Солар Вест'!G25+Будник!G25</f>
        <v>0</v>
      </c>
      <c r="H25" s="124">
        <f t="shared" si="1"/>
        <v>0</v>
      </c>
      <c r="I25" s="126">
        <f>'[5]ПП ВДГ'!I25+'[5]Корсак Л.Р.'!I25+'[5]Корсак В.І.'!I25+[5]Конякіна!I25</f>
        <v>0</v>
      </c>
      <c r="J25" s="126">
        <f>'[5]ПП ВДГ'!J25+'[5]Корсак Л.Р.'!J25+'[5]Корсак В.І.'!J25+[5]Конякіна!J25</f>
        <v>0</v>
      </c>
      <c r="K25" s="126">
        <f t="shared" si="2"/>
        <v>0</v>
      </c>
      <c r="L25" s="126">
        <f>'Солар Вест'!L25+Будник!L25</f>
        <v>0</v>
      </c>
      <c r="M25" s="126">
        <f>'Солар Вест'!M25+Будник!M25</f>
        <v>0</v>
      </c>
      <c r="N25" s="124">
        <f t="shared" si="3"/>
        <v>0</v>
      </c>
      <c r="O25" s="126">
        <f>'[5]ПП ВДГ'!O25+'[5]Корсак Л.Р.'!O25+'[5]Корсак В.І.'!O25+[5]Конякіна!O25</f>
        <v>0</v>
      </c>
      <c r="P25" s="126">
        <f>'[5]ПП ВДГ'!P25+'[5]Корсак Л.Р.'!P25+'[5]Корсак В.І.'!P25+[5]Конякіна!P25</f>
        <v>0</v>
      </c>
      <c r="Q25" s="126">
        <f t="shared" si="4"/>
        <v>0</v>
      </c>
      <c r="R25" s="126">
        <f>'Солар Вест'!R25+Будник!R25</f>
        <v>0</v>
      </c>
      <c r="S25" s="126">
        <f>'Солар Вест'!S25+Будник!S25</f>
        <v>0</v>
      </c>
      <c r="T25" s="124">
        <f t="shared" si="5"/>
        <v>0</v>
      </c>
      <c r="U25" s="126">
        <f>'[5]ПП ВДГ'!U25+'[5]Корсак Л.Р.'!U25+'[5]Корсак В.І.'!U25+[5]Конякіна!U25</f>
        <v>0</v>
      </c>
      <c r="V25" s="126">
        <f>'[5]ПП ВДГ'!V25+'[5]Корсак Л.Р.'!V25+'[5]Корсак В.І.'!V25+[5]Конякіна!V25</f>
        <v>0</v>
      </c>
      <c r="W25" s="126">
        <f t="shared" si="6"/>
        <v>0</v>
      </c>
      <c r="X25" s="126">
        <f>'Солар Вест'!X25+Будник!X25</f>
        <v>0</v>
      </c>
      <c r="Y25" s="126">
        <f>'Солар Вест'!Y25+Будник!Y25</f>
        <v>0</v>
      </c>
      <c r="Z25" s="124">
        <f t="shared" si="7"/>
        <v>0</v>
      </c>
      <c r="AA25" s="126">
        <f>'[5]ПП ВДГ'!AA25+'[5]Корсак Л.Р.'!AA25+'[5]Корсак В.І.'!AA25+[5]Конякіна!AA25</f>
        <v>0</v>
      </c>
      <c r="AB25" s="126">
        <f>'[5]ПП ВДГ'!AB25+'[5]Корсак Л.Р.'!AB25+'[5]Корсак В.І.'!AB25+[5]Конякіна!AB25</f>
        <v>0</v>
      </c>
      <c r="AC25" s="126">
        <f t="shared" si="8"/>
        <v>0</v>
      </c>
      <c r="AD25" s="126">
        <f>'Солар Вест'!AD25+Будник!AD25</f>
        <v>0</v>
      </c>
      <c r="AE25" s="126">
        <f>'Солар Вест'!AE25+Будник!AE25</f>
        <v>0</v>
      </c>
      <c r="AF25" s="124">
        <f t="shared" si="9"/>
        <v>0</v>
      </c>
      <c r="AG25" s="126">
        <f>'[5]ПП ВДГ'!AG25+'[5]Корсак Л.Р.'!AG25+'[5]Корсак В.І.'!AG25+[5]Конякіна!AG25</f>
        <v>0</v>
      </c>
      <c r="AH25" s="126">
        <f>'[5]ПП ВДГ'!AH25+'[5]Корсак Л.Р.'!AH25+'[5]Корсак В.І.'!AH25+[5]Конякіна!AH25</f>
        <v>0</v>
      </c>
      <c r="AI25" s="126">
        <f t="shared" si="10"/>
        <v>0</v>
      </c>
      <c r="AJ25" s="126">
        <f>'Солар Вест'!AJ25+Будник!AJ25</f>
        <v>0</v>
      </c>
      <c r="AK25" s="126">
        <f>'Солар Вест'!AK25+Будник!AK25</f>
        <v>0</v>
      </c>
      <c r="AL25" s="124">
        <f t="shared" si="11"/>
        <v>0</v>
      </c>
      <c r="AM25" s="126">
        <f>'[5]ПП ВДГ'!AM25+'[5]Корсак Л.Р.'!AM25+'[5]Корсак В.І.'!AM25+[5]Конякіна!AM25</f>
        <v>0</v>
      </c>
      <c r="AN25" s="126">
        <f>'[5]ПП ВДГ'!AN25+'[5]Корсак Л.Р.'!AN25+'[5]Корсак В.І.'!AN25+[5]Конякіна!AN25</f>
        <v>0</v>
      </c>
      <c r="AO25" s="126">
        <f t="shared" si="12"/>
        <v>0</v>
      </c>
      <c r="AP25" s="126">
        <f>'Солар Вест'!AP25+Будник!AP25</f>
        <v>0</v>
      </c>
      <c r="AQ25" s="126">
        <f>'Солар Вест'!AQ25+Будник!AQ25</f>
        <v>0</v>
      </c>
      <c r="AR25" s="124">
        <f t="shared" si="13"/>
        <v>0</v>
      </c>
      <c r="AS25" s="126">
        <f>'[5]ПП ВДГ'!AS25+'[5]Корсак Л.Р.'!AS25+'[5]Корсак В.І.'!AS25+[5]Конякіна!AS25</f>
        <v>0</v>
      </c>
      <c r="AT25" s="126">
        <f>'[5]ПП ВДГ'!AT25+'[5]Корсак Л.Р.'!AT25+'[5]Корсак В.І.'!AT25+[5]Конякіна!AT25</f>
        <v>0</v>
      </c>
      <c r="AU25" s="126">
        <f t="shared" si="14"/>
        <v>0</v>
      </c>
      <c r="AV25" s="126">
        <f>'Солар Вест'!AV25+Будник!AV25</f>
        <v>0</v>
      </c>
      <c r="AW25" s="126">
        <f>'Солар Вест'!AW25+Будник!AW25</f>
        <v>0</v>
      </c>
      <c r="AX25" s="124">
        <f t="shared" si="15"/>
        <v>0</v>
      </c>
      <c r="AY25" s="126">
        <f>'[5]ПП ВДГ'!AY25+'[5]Корсак Л.Р.'!AY25+'[5]Корсак В.І.'!AY25+[5]Конякіна!AY25</f>
        <v>0</v>
      </c>
      <c r="AZ25" s="126">
        <f>'[5]ПП ВДГ'!AZ25+'[5]Корсак Л.Р.'!AZ25+'[5]Корсак В.І.'!AZ25+[5]Конякіна!AZ25</f>
        <v>0</v>
      </c>
      <c r="BA25" s="126">
        <f t="shared" si="16"/>
        <v>0</v>
      </c>
      <c r="BB25" s="126">
        <f>'Солар Вест'!BB25+Будник!BB25</f>
        <v>0</v>
      </c>
      <c r="BC25" s="126">
        <f>'Солар Вест'!BC25+Будник!BC25</f>
        <v>0</v>
      </c>
      <c r="BD25" s="124">
        <f t="shared" si="17"/>
        <v>0</v>
      </c>
      <c r="BE25" s="126">
        <f>'Солар Вест'!BE25+Будник!BE25</f>
        <v>0</v>
      </c>
      <c r="BF25" s="126">
        <f>'Солар Вест'!BF25+Будник!BF25</f>
        <v>0</v>
      </c>
      <c r="BG25" s="126">
        <f t="shared" si="18"/>
        <v>0</v>
      </c>
      <c r="BH25" s="126">
        <f>'Солар Вест'!BH25+Будник!BH25</f>
        <v>0</v>
      </c>
      <c r="BI25" s="126">
        <f>'Солар Вест'!BI25+Будник!BI25</f>
        <v>0</v>
      </c>
      <c r="BJ25" s="124">
        <f t="shared" si="19"/>
        <v>0</v>
      </c>
      <c r="BK25" s="126">
        <f>'[5]ПП ВДГ'!BK25+'[5]Корсак Л.Р.'!BK25+'[5]Корсак В.І.'!BK25+[5]Конякіна!BK25</f>
        <v>0</v>
      </c>
      <c r="BL25" s="126">
        <f>'[5]ПП ВДГ'!BL25+'[5]Корсак Л.Р.'!BL25+'[5]Корсак В.І.'!BL25+[5]Конякіна!BL25</f>
        <v>0</v>
      </c>
      <c r="BM25" s="126">
        <f t="shared" si="20"/>
        <v>0</v>
      </c>
      <c r="BN25" s="126">
        <f>'Солар Вест'!BN25+Будник!BN25</f>
        <v>0</v>
      </c>
      <c r="BO25" s="126">
        <f>'Солар Вест'!BO25+Будник!BO25</f>
        <v>0</v>
      </c>
      <c r="BP25" s="124">
        <f t="shared" si="21"/>
        <v>0</v>
      </c>
      <c r="BQ25" s="126">
        <f>'[5]ПП ВДГ'!BQ25+'[5]Корсак Л.Р.'!BQ25+'[5]Корсак В.І.'!BQ25+[5]Конякіна!BQ25</f>
        <v>0</v>
      </c>
      <c r="BR25" s="126">
        <f>'[5]ПП ВДГ'!BR25+'[5]Корсак Л.Р.'!BR25+'[5]Корсак В.І.'!BR25+[5]Конякіна!BR25</f>
        <v>0</v>
      </c>
      <c r="BS25" s="126">
        <f t="shared" si="22"/>
        <v>0</v>
      </c>
      <c r="BT25" s="126">
        <f>'Солар Вест'!BT25+Будник!BT25</f>
        <v>0</v>
      </c>
      <c r="BU25" s="126">
        <f>'Солар Вест'!BU25+Будник!BU25</f>
        <v>0</v>
      </c>
      <c r="BV25" s="124">
        <f t="shared" si="23"/>
        <v>0</v>
      </c>
      <c r="BW25" s="126">
        <f t="shared" si="24"/>
        <v>0</v>
      </c>
      <c r="BX25" s="126">
        <f t="shared" si="24"/>
        <v>0</v>
      </c>
      <c r="BY25" s="126">
        <f t="shared" si="25"/>
        <v>0</v>
      </c>
      <c r="BZ25" s="126">
        <f t="shared" si="26"/>
        <v>0</v>
      </c>
      <c r="CA25" s="126">
        <f t="shared" si="26"/>
        <v>0</v>
      </c>
      <c r="CB25" s="124">
        <f t="shared" si="27"/>
        <v>0</v>
      </c>
    </row>
    <row r="26" spans="1:80" ht="25.5" x14ac:dyDescent="0.2">
      <c r="A26" s="121">
        <v>214</v>
      </c>
      <c r="B26" s="130" t="s">
        <v>41</v>
      </c>
      <c r="C26" s="123">
        <f>'[5]ПП ВДГ'!C26+'[5]Корсак Л.Р.'!C26+'[5]Корсак В.І.'!C26+[5]Конякіна!C26</f>
        <v>0</v>
      </c>
      <c r="D26" s="123">
        <f>'[5]ПП ВДГ'!D26+'[5]Корсак Л.Р.'!D26+'[5]Корсак В.І.'!D26+[5]Конякіна!D26</f>
        <v>0</v>
      </c>
      <c r="E26" s="131">
        <f t="shared" si="0"/>
        <v>0</v>
      </c>
      <c r="F26" s="128">
        <f>'Солар Вест'!F26+Будник!F26</f>
        <v>0</v>
      </c>
      <c r="G26" s="128">
        <f>'Солар Вест'!G26+Будник!G26</f>
        <v>0</v>
      </c>
      <c r="H26" s="132">
        <f t="shared" si="1"/>
        <v>0</v>
      </c>
      <c r="I26" s="123">
        <f>'[5]ПП ВДГ'!I26+'[5]Корсак Л.Р.'!I26+'[5]Корсак В.І.'!I26+[5]Конякіна!I26</f>
        <v>0</v>
      </c>
      <c r="J26" s="123">
        <f>'[5]ПП ВДГ'!J26+'[5]Корсак Л.Р.'!J26+'[5]Корсак В.І.'!J26+[5]Конякіна!J26</f>
        <v>0</v>
      </c>
      <c r="K26" s="131">
        <f t="shared" si="2"/>
        <v>0</v>
      </c>
      <c r="L26" s="128">
        <f>'Солар Вест'!L26+Будник!L26</f>
        <v>0</v>
      </c>
      <c r="M26" s="128">
        <f>'Солар Вест'!M26+Будник!M26</f>
        <v>0</v>
      </c>
      <c r="N26" s="132">
        <f t="shared" si="3"/>
        <v>0</v>
      </c>
      <c r="O26" s="123">
        <f>'[5]ПП ВДГ'!O26+'[5]Корсак Л.Р.'!O26+'[5]Корсак В.І.'!O26+[5]Конякіна!O26</f>
        <v>0</v>
      </c>
      <c r="P26" s="123">
        <f>'[5]ПП ВДГ'!P26+'[5]Корсак Л.Р.'!P26+'[5]Корсак В.І.'!P26+[5]Конякіна!P26</f>
        <v>0</v>
      </c>
      <c r="Q26" s="131">
        <f t="shared" si="4"/>
        <v>0</v>
      </c>
      <c r="R26" s="128">
        <f>'Солар Вест'!R26+Будник!R26</f>
        <v>250000</v>
      </c>
      <c r="S26" s="128">
        <f>'Солар Вест'!S26+Будник!S26</f>
        <v>0</v>
      </c>
      <c r="T26" s="132">
        <f t="shared" si="5"/>
        <v>250000</v>
      </c>
      <c r="U26" s="123">
        <f>'[5]ПП ВДГ'!U26+'[5]Корсак Л.Р.'!U26+'[5]Корсак В.І.'!U26+[5]Конякіна!U26</f>
        <v>0</v>
      </c>
      <c r="V26" s="123">
        <f>'[5]ПП ВДГ'!V26+'[5]Корсак Л.Р.'!V26+'[5]Корсак В.І.'!V26+[5]Конякіна!V26</f>
        <v>0</v>
      </c>
      <c r="W26" s="131">
        <f t="shared" si="6"/>
        <v>0</v>
      </c>
      <c r="X26" s="128">
        <f>'Солар Вест'!X26+Будник!X26</f>
        <v>0</v>
      </c>
      <c r="Y26" s="128">
        <f>'Солар Вест'!Y26+Будник!Y26</f>
        <v>0</v>
      </c>
      <c r="Z26" s="132">
        <f t="shared" si="7"/>
        <v>0</v>
      </c>
      <c r="AA26" s="123">
        <f>'[5]ПП ВДГ'!AA26+'[5]Корсак Л.Р.'!AA26+'[5]Корсак В.І.'!AA26+[5]Конякіна!AA26</f>
        <v>0</v>
      </c>
      <c r="AB26" s="123">
        <f>'[5]ПП ВДГ'!AB26+'[5]Корсак Л.Р.'!AB26+'[5]Корсак В.І.'!AB26+[5]Конякіна!AB26</f>
        <v>0</v>
      </c>
      <c r="AC26" s="131">
        <f t="shared" si="8"/>
        <v>0</v>
      </c>
      <c r="AD26" s="128">
        <f>'Солар Вест'!AD26+Будник!AD26</f>
        <v>1093.33</v>
      </c>
      <c r="AE26" s="128">
        <f>'Солар Вест'!AE26+Будник!AE26</f>
        <v>0</v>
      </c>
      <c r="AF26" s="132">
        <f t="shared" si="9"/>
        <v>1093.33</v>
      </c>
      <c r="AG26" s="123">
        <f>'[5]ПП ВДГ'!AG26+'[5]Корсак Л.Р.'!AG26+'[5]Корсак В.І.'!AG26+[5]Конякіна!AG26</f>
        <v>0</v>
      </c>
      <c r="AH26" s="123">
        <f>'[5]ПП ВДГ'!AH26+'[5]Корсак Л.Р.'!AH26+'[5]Корсак В.І.'!AH26+[5]Конякіна!AH26</f>
        <v>0</v>
      </c>
      <c r="AI26" s="131">
        <f t="shared" si="10"/>
        <v>0</v>
      </c>
      <c r="AJ26" s="128">
        <f>'Солар Вест'!AJ26+Будник!AJ26</f>
        <v>0</v>
      </c>
      <c r="AK26" s="128">
        <f>'Солар Вест'!AK26+Будник!AK26</f>
        <v>0</v>
      </c>
      <c r="AL26" s="132">
        <f t="shared" si="11"/>
        <v>0</v>
      </c>
      <c r="AM26" s="123">
        <f>'[5]ПП ВДГ'!AM26+'[5]Корсак Л.Р.'!AM26+'[5]Корсак В.І.'!AM26+[5]Конякіна!AM26</f>
        <v>0</v>
      </c>
      <c r="AN26" s="123">
        <f>'[5]ПП ВДГ'!AN26+'[5]Корсак Л.Р.'!AN26+'[5]Корсак В.І.'!AN26+[5]Конякіна!AN26</f>
        <v>0</v>
      </c>
      <c r="AO26" s="131">
        <f t="shared" si="12"/>
        <v>0</v>
      </c>
      <c r="AP26" s="128">
        <f>'Солар Вест'!AP26+Будник!AP26</f>
        <v>0</v>
      </c>
      <c r="AQ26" s="128">
        <f>'Солар Вест'!AQ26+Будник!AQ26</f>
        <v>0</v>
      </c>
      <c r="AR26" s="132">
        <f t="shared" si="13"/>
        <v>0</v>
      </c>
      <c r="AS26" s="123">
        <f>'[5]ПП ВДГ'!AS26+'[5]Корсак Л.Р.'!AS26+'[5]Корсак В.І.'!AS26+[5]Конякіна!AS26</f>
        <v>0</v>
      </c>
      <c r="AT26" s="123">
        <f>'[5]ПП ВДГ'!AT26+'[5]Корсак Л.Р.'!AT26+'[5]Корсак В.І.'!AT26+[5]Конякіна!AT26</f>
        <v>0</v>
      </c>
      <c r="AU26" s="131">
        <f t="shared" si="14"/>
        <v>0</v>
      </c>
      <c r="AV26" s="128">
        <f>'Солар Вест'!AV26+Будник!AV26</f>
        <v>0</v>
      </c>
      <c r="AW26" s="128">
        <f>'Солар Вест'!AW26+Будник!AW26</f>
        <v>0</v>
      </c>
      <c r="AX26" s="132">
        <f t="shared" si="15"/>
        <v>0</v>
      </c>
      <c r="AY26" s="123">
        <f>'[5]ПП ВДГ'!AY26+'[5]Корсак Л.Р.'!AY26+'[5]Корсак В.І.'!AY26+[5]Конякіна!AY26</f>
        <v>0</v>
      </c>
      <c r="AZ26" s="123">
        <f>'[5]ПП ВДГ'!AZ26+'[5]Корсак Л.Р.'!AZ26+'[5]Корсак В.І.'!AZ26+[5]Конякіна!AZ26</f>
        <v>0</v>
      </c>
      <c r="BA26" s="131">
        <f t="shared" si="16"/>
        <v>0</v>
      </c>
      <c r="BB26" s="128">
        <f>'Солар Вест'!BB26+Будник!BB26</f>
        <v>0</v>
      </c>
      <c r="BC26" s="128">
        <f>'Солар Вест'!BC26+Будник!BC26</f>
        <v>0</v>
      </c>
      <c r="BD26" s="132">
        <f t="shared" si="17"/>
        <v>0</v>
      </c>
      <c r="BE26" s="128">
        <f>'Солар Вест'!BE26+Будник!BE26</f>
        <v>0</v>
      </c>
      <c r="BF26" s="128">
        <f>'Солар Вест'!BF26+Будник!BF26</f>
        <v>0</v>
      </c>
      <c r="BG26" s="131">
        <f t="shared" si="18"/>
        <v>0</v>
      </c>
      <c r="BH26" s="128">
        <f>'Солар Вест'!BH26+Будник!BH26</f>
        <v>0</v>
      </c>
      <c r="BI26" s="128">
        <f>'Солар Вест'!BI26+Будник!BI26</f>
        <v>0</v>
      </c>
      <c r="BJ26" s="132">
        <f t="shared" si="19"/>
        <v>0</v>
      </c>
      <c r="BK26" s="123">
        <f>'[5]ПП ВДГ'!BK26+'[5]Корсак Л.Р.'!BK26+'[5]Корсак В.І.'!BK26+[5]Конякіна!BK26</f>
        <v>0</v>
      </c>
      <c r="BL26" s="123">
        <f>'[5]ПП ВДГ'!BL26+'[5]Корсак Л.Р.'!BL26+'[5]Корсак В.І.'!BL26+[5]Конякіна!BL26</f>
        <v>0</v>
      </c>
      <c r="BM26" s="131">
        <f t="shared" si="20"/>
        <v>0</v>
      </c>
      <c r="BN26" s="128">
        <f>'Солар Вест'!BN26+Будник!BN26</f>
        <v>0</v>
      </c>
      <c r="BO26" s="128">
        <f>'Солар Вест'!BO26+Будник!BO26</f>
        <v>0</v>
      </c>
      <c r="BP26" s="132">
        <f t="shared" si="21"/>
        <v>0</v>
      </c>
      <c r="BQ26" s="123">
        <f>'[5]ПП ВДГ'!BQ26+'[5]Корсак Л.Р.'!BQ26+'[5]Корсак В.І.'!BQ26+[5]Конякіна!BQ26</f>
        <v>0</v>
      </c>
      <c r="BR26" s="123">
        <f>'[5]ПП ВДГ'!BR26+'[5]Корсак Л.Р.'!BR26+'[5]Корсак В.І.'!BR26+[5]Конякіна!BR26</f>
        <v>0</v>
      </c>
      <c r="BS26" s="131">
        <f t="shared" si="22"/>
        <v>0</v>
      </c>
      <c r="BT26" s="128">
        <f>'Солар Вест'!BT26+Будник!BT26</f>
        <v>0</v>
      </c>
      <c r="BU26" s="128">
        <f>'Солар Вест'!BU26+Будник!BU26</f>
        <v>0</v>
      </c>
      <c r="BV26" s="132">
        <f t="shared" si="23"/>
        <v>0</v>
      </c>
      <c r="BW26" s="123">
        <f t="shared" si="24"/>
        <v>0</v>
      </c>
      <c r="BX26" s="123">
        <f t="shared" si="24"/>
        <v>0</v>
      </c>
      <c r="BY26" s="131">
        <f t="shared" si="25"/>
        <v>0</v>
      </c>
      <c r="BZ26" s="123">
        <f t="shared" si="26"/>
        <v>251093.33</v>
      </c>
      <c r="CA26" s="123">
        <f t="shared" si="26"/>
        <v>0</v>
      </c>
      <c r="CB26" s="132">
        <f t="shared" si="27"/>
        <v>251093.33</v>
      </c>
    </row>
    <row r="27" spans="1:80" x14ac:dyDescent="0.2">
      <c r="A27" s="121">
        <v>311</v>
      </c>
      <c r="B27" s="130" t="s">
        <v>42</v>
      </c>
      <c r="C27" s="123">
        <f>'[5]ПП ВДГ'!C27+'[5]Корсак Л.Р.'!C27+'[5]Корсак В.І.'!C27+[5]Конякіна!C27</f>
        <v>0</v>
      </c>
      <c r="D27" s="123">
        <f>'[5]ПП ВДГ'!D27+'[5]Корсак Л.Р.'!D27+'[5]Корсак В.І.'!D27+[5]Конякіна!D27</f>
        <v>0</v>
      </c>
      <c r="E27" s="131">
        <f t="shared" si="0"/>
        <v>0</v>
      </c>
      <c r="F27" s="128">
        <f>'Солар Вест'!F27+Будник!F27</f>
        <v>0</v>
      </c>
      <c r="G27" s="128">
        <f>'Солар Вест'!G27+Будник!G27</f>
        <v>0</v>
      </c>
      <c r="H27" s="132">
        <f t="shared" si="1"/>
        <v>0</v>
      </c>
      <c r="I27" s="123">
        <f>'[5]ПП ВДГ'!I27+'[5]Корсак Л.Р.'!I27+'[5]Корсак В.І.'!I27+[5]Конякіна!I27</f>
        <v>0</v>
      </c>
      <c r="J27" s="123">
        <f>'[5]ПП ВДГ'!J27+'[5]Корсак Л.Р.'!J27+'[5]Корсак В.І.'!J27+[5]Конякіна!J27</f>
        <v>0</v>
      </c>
      <c r="K27" s="131">
        <f t="shared" si="2"/>
        <v>0</v>
      </c>
      <c r="L27" s="128">
        <f>'Солар Вест'!L27+Будник!L27</f>
        <v>0</v>
      </c>
      <c r="M27" s="128">
        <f>'Солар Вест'!M27+Будник!M27</f>
        <v>0</v>
      </c>
      <c r="N27" s="132">
        <f t="shared" si="3"/>
        <v>0</v>
      </c>
      <c r="O27" s="123">
        <f>'[5]ПП ВДГ'!O27+'[5]Корсак Л.Р.'!O27+'[5]Корсак В.І.'!O27+[5]Конякіна!O27</f>
        <v>0</v>
      </c>
      <c r="P27" s="123">
        <f>'[5]ПП ВДГ'!P27+'[5]Корсак Л.Р.'!P27+'[5]Корсак В.І.'!P27+[5]Конякіна!P27</f>
        <v>0</v>
      </c>
      <c r="Q27" s="131">
        <f t="shared" si="4"/>
        <v>0</v>
      </c>
      <c r="R27" s="128">
        <f>'Солар Вест'!R27+Будник!R27</f>
        <v>0</v>
      </c>
      <c r="S27" s="128">
        <f>'Солар Вест'!S27+Будник!S27</f>
        <v>0</v>
      </c>
      <c r="T27" s="132">
        <f t="shared" si="5"/>
        <v>0</v>
      </c>
      <c r="U27" s="123">
        <f>'[5]ПП ВДГ'!U27+'[5]Корсак Л.Р.'!U27+'[5]Корсак В.І.'!U27+[5]Конякіна!U27</f>
        <v>0</v>
      </c>
      <c r="V27" s="123">
        <f>'[5]ПП ВДГ'!V27+'[5]Корсак Л.Р.'!V27+'[5]Корсак В.І.'!V27+[5]Конякіна!V27</f>
        <v>0</v>
      </c>
      <c r="W27" s="131">
        <f t="shared" si="6"/>
        <v>0</v>
      </c>
      <c r="X27" s="128">
        <f>'Солар Вест'!X27+Будник!X27</f>
        <v>0</v>
      </c>
      <c r="Y27" s="128">
        <f>'Солар Вест'!Y27+Будник!Y27</f>
        <v>0</v>
      </c>
      <c r="Z27" s="132">
        <f t="shared" si="7"/>
        <v>0</v>
      </c>
      <c r="AA27" s="123">
        <f>'[5]ПП ВДГ'!AA27+'[5]Корсак Л.Р.'!AA27+'[5]Корсак В.І.'!AA27+[5]Конякіна!AA27</f>
        <v>0</v>
      </c>
      <c r="AB27" s="123">
        <f>'[5]ПП ВДГ'!AB27+'[5]Корсак Л.Р.'!AB27+'[5]Корсак В.І.'!AB27+[5]Конякіна!AB27</f>
        <v>0</v>
      </c>
      <c r="AC27" s="131">
        <f t="shared" si="8"/>
        <v>0</v>
      </c>
      <c r="AD27" s="128">
        <f>'Солар Вест'!AD27+Будник!AD27</f>
        <v>0</v>
      </c>
      <c r="AE27" s="128">
        <f>'Солар Вест'!AE27+Будник!AE27</f>
        <v>0</v>
      </c>
      <c r="AF27" s="132">
        <f t="shared" si="9"/>
        <v>0</v>
      </c>
      <c r="AG27" s="123">
        <f>'[5]ПП ВДГ'!AG27+'[5]Корсак Л.Р.'!AG27+'[5]Корсак В.І.'!AG27+[5]Конякіна!AG27</f>
        <v>0</v>
      </c>
      <c r="AH27" s="123">
        <f>'[5]ПП ВДГ'!AH27+'[5]Корсак Л.Р.'!AH27+'[5]Корсак В.І.'!AH27+[5]Конякіна!AH27</f>
        <v>0</v>
      </c>
      <c r="AI27" s="131">
        <f t="shared" si="10"/>
        <v>0</v>
      </c>
      <c r="AJ27" s="128">
        <f>'Солар Вест'!AJ27+Будник!AJ27</f>
        <v>0</v>
      </c>
      <c r="AK27" s="128">
        <f>'Солар Вест'!AK27+Будник!AK27</f>
        <v>0</v>
      </c>
      <c r="AL27" s="132">
        <f t="shared" si="11"/>
        <v>0</v>
      </c>
      <c r="AM27" s="123">
        <f>'[5]ПП ВДГ'!AM27+'[5]Корсак Л.Р.'!AM27+'[5]Корсак В.І.'!AM27+[5]Конякіна!AM27</f>
        <v>0</v>
      </c>
      <c r="AN27" s="123">
        <f>'[5]ПП ВДГ'!AN27+'[5]Корсак Л.Р.'!AN27+'[5]Корсак В.І.'!AN27+[5]Конякіна!AN27</f>
        <v>0</v>
      </c>
      <c r="AO27" s="131">
        <f t="shared" si="12"/>
        <v>0</v>
      </c>
      <c r="AP27" s="128">
        <f>'Солар Вест'!AP27+Будник!AP27</f>
        <v>0</v>
      </c>
      <c r="AQ27" s="128">
        <f>'Солар Вест'!AQ27+Будник!AQ27</f>
        <v>0</v>
      </c>
      <c r="AR27" s="132">
        <f t="shared" si="13"/>
        <v>0</v>
      </c>
      <c r="AS27" s="123">
        <f>'[5]ПП ВДГ'!AS27+'[5]Корсак Л.Р.'!AS27+'[5]Корсак В.І.'!AS27+[5]Конякіна!AS27</f>
        <v>0</v>
      </c>
      <c r="AT27" s="123">
        <f>'[5]ПП ВДГ'!AT27+'[5]Корсак Л.Р.'!AT27+'[5]Корсак В.І.'!AT27+[5]Конякіна!AT27</f>
        <v>0</v>
      </c>
      <c r="AU27" s="131">
        <f t="shared" si="14"/>
        <v>0</v>
      </c>
      <c r="AV27" s="128">
        <f>'Солар Вест'!AV27+Будник!AV27</f>
        <v>0</v>
      </c>
      <c r="AW27" s="128">
        <f>'Солар Вест'!AW27+Будник!AW27</f>
        <v>0</v>
      </c>
      <c r="AX27" s="132">
        <f t="shared" si="15"/>
        <v>0</v>
      </c>
      <c r="AY27" s="123">
        <f>'[5]ПП ВДГ'!AY27+'[5]Корсак Л.Р.'!AY27+'[5]Корсак В.І.'!AY27+[5]Конякіна!AY27</f>
        <v>0</v>
      </c>
      <c r="AZ27" s="123">
        <f>'[5]ПП ВДГ'!AZ27+'[5]Корсак Л.Р.'!AZ27+'[5]Корсак В.І.'!AZ27+[5]Конякіна!AZ27</f>
        <v>0</v>
      </c>
      <c r="BA27" s="131">
        <f t="shared" si="16"/>
        <v>0</v>
      </c>
      <c r="BB27" s="128">
        <f>'Солар Вест'!BB27+Будник!BB27</f>
        <v>0</v>
      </c>
      <c r="BC27" s="128">
        <f>'Солар Вест'!BC27+Будник!BC27</f>
        <v>0</v>
      </c>
      <c r="BD27" s="132">
        <f t="shared" si="17"/>
        <v>0</v>
      </c>
      <c r="BE27" s="128">
        <f>'Солар Вест'!BE27+Будник!BE27</f>
        <v>0</v>
      </c>
      <c r="BF27" s="128">
        <f>'Солар Вест'!BF27+Будник!BF27</f>
        <v>0</v>
      </c>
      <c r="BG27" s="131">
        <f t="shared" si="18"/>
        <v>0</v>
      </c>
      <c r="BH27" s="128">
        <f>'Солар Вест'!BH27+Будник!BH27</f>
        <v>0</v>
      </c>
      <c r="BI27" s="128">
        <f>'Солар Вест'!BI27+Будник!BI27</f>
        <v>0</v>
      </c>
      <c r="BJ27" s="132">
        <f t="shared" si="19"/>
        <v>0</v>
      </c>
      <c r="BK27" s="123">
        <f>'[5]ПП ВДГ'!BK27+'[5]Корсак Л.Р.'!BK27+'[5]Корсак В.І.'!BK27+[5]Конякіна!BK27</f>
        <v>0</v>
      </c>
      <c r="BL27" s="123">
        <f>'[5]ПП ВДГ'!BL27+'[5]Корсак Л.Р.'!BL27+'[5]Корсак В.І.'!BL27+[5]Конякіна!BL27</f>
        <v>0</v>
      </c>
      <c r="BM27" s="131">
        <f t="shared" si="20"/>
        <v>0</v>
      </c>
      <c r="BN27" s="128">
        <f>'Солар Вест'!BN27+Будник!BN27</f>
        <v>0</v>
      </c>
      <c r="BO27" s="128">
        <f>'Солар Вест'!BO27+Будник!BO27</f>
        <v>0</v>
      </c>
      <c r="BP27" s="132">
        <f t="shared" si="21"/>
        <v>0</v>
      </c>
      <c r="BQ27" s="123">
        <f>'[5]ПП ВДГ'!BQ27+'[5]Корсак Л.Р.'!BQ27+'[5]Корсак В.І.'!BQ27+[5]Конякіна!BQ27</f>
        <v>0</v>
      </c>
      <c r="BR27" s="123">
        <f>'[5]ПП ВДГ'!BR27+'[5]Корсак Л.Р.'!BR27+'[5]Корсак В.І.'!BR27+[5]Конякіна!BR27</f>
        <v>0</v>
      </c>
      <c r="BS27" s="131">
        <f t="shared" si="22"/>
        <v>0</v>
      </c>
      <c r="BT27" s="128">
        <f>'Солар Вест'!BT27+Будник!BT27</f>
        <v>0</v>
      </c>
      <c r="BU27" s="128">
        <f>'Солар Вест'!BU27+Будник!BU27</f>
        <v>0</v>
      </c>
      <c r="BV27" s="132">
        <f t="shared" si="23"/>
        <v>0</v>
      </c>
      <c r="BW27" s="123">
        <f t="shared" si="24"/>
        <v>0</v>
      </c>
      <c r="BX27" s="123">
        <f t="shared" si="24"/>
        <v>0</v>
      </c>
      <c r="BY27" s="131">
        <f t="shared" si="25"/>
        <v>0</v>
      </c>
      <c r="BZ27" s="123">
        <f t="shared" si="26"/>
        <v>0</v>
      </c>
      <c r="CA27" s="123">
        <f t="shared" si="26"/>
        <v>0</v>
      </c>
      <c r="CB27" s="132">
        <f t="shared" si="27"/>
        <v>0</v>
      </c>
    </row>
    <row r="28" spans="1:80" x14ac:dyDescent="0.2">
      <c r="A28" s="121">
        <v>318</v>
      </c>
      <c r="B28" s="130" t="s">
        <v>43</v>
      </c>
      <c r="C28" s="123">
        <f>'[5]ПП ВДГ'!C28+'[5]Корсак Л.Р.'!C28+'[5]Корсак В.І.'!C28+[5]Конякіна!C28</f>
        <v>0</v>
      </c>
      <c r="D28" s="123">
        <f>'[5]ПП ВДГ'!D28+'[5]Корсак Л.Р.'!D28+'[5]Корсак В.І.'!D28+[5]Конякіна!D28</f>
        <v>0</v>
      </c>
      <c r="E28" s="131">
        <f t="shared" si="0"/>
        <v>0</v>
      </c>
      <c r="F28" s="128">
        <f>'Солар Вест'!F28+Будник!F28</f>
        <v>0</v>
      </c>
      <c r="G28" s="128">
        <f>'Солар Вест'!G28+Будник!G28</f>
        <v>0</v>
      </c>
      <c r="H28" s="132">
        <f t="shared" si="1"/>
        <v>0</v>
      </c>
      <c r="I28" s="123">
        <f>'[5]ПП ВДГ'!I28+'[5]Корсак Л.Р.'!I28+'[5]Корсак В.І.'!I28+[5]Конякіна!I28</f>
        <v>0</v>
      </c>
      <c r="J28" s="123">
        <f>'[5]ПП ВДГ'!J28+'[5]Корсак Л.Р.'!J28+'[5]Корсак В.І.'!J28+[5]Конякіна!J28</f>
        <v>0</v>
      </c>
      <c r="K28" s="131">
        <f t="shared" si="2"/>
        <v>0</v>
      </c>
      <c r="L28" s="128">
        <f>'Солар Вест'!L28+Будник!L28</f>
        <v>0</v>
      </c>
      <c r="M28" s="128">
        <f>'Солар Вест'!M28+Будник!M28</f>
        <v>0</v>
      </c>
      <c r="N28" s="132">
        <f t="shared" si="3"/>
        <v>0</v>
      </c>
      <c r="O28" s="123">
        <f>'[5]ПП ВДГ'!O28+'[5]Корсак Л.Р.'!O28+'[5]Корсак В.І.'!O28+[5]Конякіна!O28</f>
        <v>0</v>
      </c>
      <c r="P28" s="123">
        <f>'[5]ПП ВДГ'!P28+'[5]Корсак Л.Р.'!P28+'[5]Корсак В.І.'!P28+[5]Конякіна!P28</f>
        <v>0</v>
      </c>
      <c r="Q28" s="131">
        <f t="shared" si="4"/>
        <v>0</v>
      </c>
      <c r="R28" s="128">
        <f>'Солар Вест'!R28+Будник!R28</f>
        <v>0</v>
      </c>
      <c r="S28" s="128">
        <f>'Солар Вест'!S28+Будник!S28</f>
        <v>0</v>
      </c>
      <c r="T28" s="132">
        <f t="shared" si="5"/>
        <v>0</v>
      </c>
      <c r="U28" s="123">
        <f>'[5]ПП ВДГ'!U28+'[5]Корсак Л.Р.'!U28+'[5]Корсак В.І.'!U28+[5]Конякіна!U28</f>
        <v>0</v>
      </c>
      <c r="V28" s="123">
        <f>'[5]ПП ВДГ'!V28+'[5]Корсак Л.Р.'!V28+'[5]Корсак В.І.'!V28+[5]Конякіна!V28</f>
        <v>0</v>
      </c>
      <c r="W28" s="131">
        <f t="shared" si="6"/>
        <v>0</v>
      </c>
      <c r="X28" s="128">
        <f>'Солар Вест'!X28+Будник!X28</f>
        <v>0</v>
      </c>
      <c r="Y28" s="128">
        <f>'Солар Вест'!Y28+Будник!Y28</f>
        <v>0</v>
      </c>
      <c r="Z28" s="132">
        <f t="shared" si="7"/>
        <v>0</v>
      </c>
      <c r="AA28" s="123">
        <f>'[5]ПП ВДГ'!AA28+'[5]Корсак Л.Р.'!AA28+'[5]Корсак В.І.'!AA28+[5]Конякіна!AA28</f>
        <v>0</v>
      </c>
      <c r="AB28" s="123">
        <f>'[5]ПП ВДГ'!AB28+'[5]Корсак Л.Р.'!AB28+'[5]Корсак В.І.'!AB28+[5]Конякіна!AB28</f>
        <v>0</v>
      </c>
      <c r="AC28" s="131">
        <f t="shared" si="8"/>
        <v>0</v>
      </c>
      <c r="AD28" s="128">
        <f>'Солар Вест'!AD28+Будник!AD28</f>
        <v>0</v>
      </c>
      <c r="AE28" s="128">
        <f>'Солар Вест'!AE28+Будник!AE28</f>
        <v>0</v>
      </c>
      <c r="AF28" s="132">
        <f t="shared" si="9"/>
        <v>0</v>
      </c>
      <c r="AG28" s="123">
        <f>'[5]ПП ВДГ'!AG28+'[5]Корсак Л.Р.'!AG28+'[5]Корсак В.І.'!AG28+[5]Конякіна!AG28</f>
        <v>0</v>
      </c>
      <c r="AH28" s="123">
        <f>'[5]ПП ВДГ'!AH28+'[5]Корсак Л.Р.'!AH28+'[5]Корсак В.І.'!AH28+[5]Конякіна!AH28</f>
        <v>0</v>
      </c>
      <c r="AI28" s="131">
        <f t="shared" si="10"/>
        <v>0</v>
      </c>
      <c r="AJ28" s="128">
        <f>'Солар Вест'!AJ28+Будник!AJ28</f>
        <v>0</v>
      </c>
      <c r="AK28" s="128">
        <f>'Солар Вест'!AK28+Будник!AK28</f>
        <v>0</v>
      </c>
      <c r="AL28" s="132">
        <f t="shared" si="11"/>
        <v>0</v>
      </c>
      <c r="AM28" s="123">
        <f>'[5]ПП ВДГ'!AM28+'[5]Корсак Л.Р.'!AM28+'[5]Корсак В.І.'!AM28+[5]Конякіна!AM28</f>
        <v>0</v>
      </c>
      <c r="AN28" s="123">
        <f>'[5]ПП ВДГ'!AN28+'[5]Корсак Л.Р.'!AN28+'[5]Корсак В.І.'!AN28+[5]Конякіна!AN28</f>
        <v>0</v>
      </c>
      <c r="AO28" s="131">
        <f t="shared" si="12"/>
        <v>0</v>
      </c>
      <c r="AP28" s="128">
        <f>'Солар Вест'!AP28+Будник!AP28</f>
        <v>0</v>
      </c>
      <c r="AQ28" s="128">
        <f>'Солар Вест'!AQ28+Будник!AQ28</f>
        <v>0</v>
      </c>
      <c r="AR28" s="132">
        <f t="shared" si="13"/>
        <v>0</v>
      </c>
      <c r="AS28" s="123">
        <f>'[5]ПП ВДГ'!AS28+'[5]Корсак Л.Р.'!AS28+'[5]Корсак В.І.'!AS28+[5]Конякіна!AS28</f>
        <v>0</v>
      </c>
      <c r="AT28" s="123">
        <f>'[5]ПП ВДГ'!AT28+'[5]Корсак Л.Р.'!AT28+'[5]Корсак В.І.'!AT28+[5]Конякіна!AT28</f>
        <v>0</v>
      </c>
      <c r="AU28" s="131">
        <f t="shared" si="14"/>
        <v>0</v>
      </c>
      <c r="AV28" s="128">
        <f>'Солар Вест'!AV28+Будник!AV28</f>
        <v>0</v>
      </c>
      <c r="AW28" s="128">
        <f>'Солар Вест'!AW28+Будник!AW28</f>
        <v>0</v>
      </c>
      <c r="AX28" s="132">
        <f t="shared" si="15"/>
        <v>0</v>
      </c>
      <c r="AY28" s="123">
        <f>'[5]ПП ВДГ'!AY28+'[5]Корсак Л.Р.'!AY28+'[5]Корсак В.І.'!AY28+[5]Конякіна!AY28</f>
        <v>0</v>
      </c>
      <c r="AZ28" s="123">
        <f>'[5]ПП ВДГ'!AZ28+'[5]Корсак Л.Р.'!AZ28+'[5]Корсак В.І.'!AZ28+[5]Конякіна!AZ28</f>
        <v>0</v>
      </c>
      <c r="BA28" s="131">
        <f t="shared" si="16"/>
        <v>0</v>
      </c>
      <c r="BB28" s="128">
        <f>'Солар Вест'!BB28+Будник!BB28</f>
        <v>0</v>
      </c>
      <c r="BC28" s="128">
        <f>'Солар Вест'!BC28+Будник!BC28</f>
        <v>0</v>
      </c>
      <c r="BD28" s="132">
        <f t="shared" si="17"/>
        <v>0</v>
      </c>
      <c r="BE28" s="128">
        <f>'Солар Вест'!BE28+Будник!BE28</f>
        <v>0</v>
      </c>
      <c r="BF28" s="128">
        <f>'Солар Вест'!BF28+Будник!BF28</f>
        <v>0</v>
      </c>
      <c r="BG28" s="131">
        <f t="shared" si="18"/>
        <v>0</v>
      </c>
      <c r="BH28" s="128">
        <f>'Солар Вест'!BH28+Будник!BH28</f>
        <v>0</v>
      </c>
      <c r="BI28" s="128">
        <f>'Солар Вест'!BI28+Будник!BI28</f>
        <v>0</v>
      </c>
      <c r="BJ28" s="132">
        <f t="shared" si="19"/>
        <v>0</v>
      </c>
      <c r="BK28" s="123">
        <f>'[5]ПП ВДГ'!BK28+'[5]Корсак Л.Р.'!BK28+'[5]Корсак В.І.'!BK28+[5]Конякіна!BK28</f>
        <v>0</v>
      </c>
      <c r="BL28" s="123">
        <f>'[5]ПП ВДГ'!BL28+'[5]Корсак Л.Р.'!BL28+'[5]Корсак В.І.'!BL28+[5]Конякіна!BL28</f>
        <v>0</v>
      </c>
      <c r="BM28" s="131">
        <f t="shared" si="20"/>
        <v>0</v>
      </c>
      <c r="BN28" s="128">
        <f>'Солар Вест'!BN28+Будник!BN28</f>
        <v>0</v>
      </c>
      <c r="BO28" s="128">
        <f>'Солар Вест'!BO28+Будник!BO28</f>
        <v>0</v>
      </c>
      <c r="BP28" s="132">
        <f t="shared" si="21"/>
        <v>0</v>
      </c>
      <c r="BQ28" s="123">
        <f>'[5]ПП ВДГ'!BQ28+'[5]Корсак Л.Р.'!BQ28+'[5]Корсак В.І.'!BQ28+[5]Конякіна!BQ28</f>
        <v>0</v>
      </c>
      <c r="BR28" s="123">
        <f>'[5]ПП ВДГ'!BR28+'[5]Корсак Л.Р.'!BR28+'[5]Корсак В.І.'!BR28+[5]Конякіна!BR28</f>
        <v>0</v>
      </c>
      <c r="BS28" s="131">
        <f t="shared" si="22"/>
        <v>0</v>
      </c>
      <c r="BT28" s="128">
        <f>'Солар Вест'!BT28+Будник!BT28</f>
        <v>0</v>
      </c>
      <c r="BU28" s="128">
        <f>'Солар Вест'!BU28+Будник!BU28</f>
        <v>0</v>
      </c>
      <c r="BV28" s="132">
        <f t="shared" si="23"/>
        <v>0</v>
      </c>
      <c r="BW28" s="123">
        <f t="shared" si="24"/>
        <v>0</v>
      </c>
      <c r="BX28" s="123">
        <f t="shared" si="24"/>
        <v>0</v>
      </c>
      <c r="BY28" s="131">
        <f t="shared" si="25"/>
        <v>0</v>
      </c>
      <c r="BZ28" s="123">
        <f t="shared" si="26"/>
        <v>0</v>
      </c>
      <c r="CA28" s="123">
        <f t="shared" si="26"/>
        <v>0</v>
      </c>
      <c r="CB28" s="132">
        <f t="shared" si="27"/>
        <v>0</v>
      </c>
    </row>
    <row r="29" spans="1:80" x14ac:dyDescent="0.2">
      <c r="A29" s="121">
        <v>319</v>
      </c>
      <c r="B29" s="130" t="s">
        <v>44</v>
      </c>
      <c r="C29" s="123">
        <f>'[5]ПП ВДГ'!C29+'[5]Корсак Л.Р.'!C29+'[5]Корсак В.І.'!C29+[5]Конякіна!C29</f>
        <v>0</v>
      </c>
      <c r="D29" s="123">
        <f>'[5]ПП ВДГ'!D29+'[5]Корсак Л.Р.'!D29+'[5]Корсак В.І.'!D29+[5]Конякіна!D29</f>
        <v>23000</v>
      </c>
      <c r="E29" s="131">
        <f t="shared" si="0"/>
        <v>23000</v>
      </c>
      <c r="F29" s="128">
        <f>'Солар Вест'!F29+Будник!F29</f>
        <v>0</v>
      </c>
      <c r="G29" s="128">
        <f>'Солар Вест'!G29+Будник!G29</f>
        <v>0</v>
      </c>
      <c r="H29" s="132">
        <f t="shared" si="1"/>
        <v>0</v>
      </c>
      <c r="I29" s="123">
        <f>'[5]ПП ВДГ'!I29+'[5]Корсак Л.Р.'!I29+'[5]Корсак В.І.'!I29+[5]Конякіна!I29</f>
        <v>0</v>
      </c>
      <c r="J29" s="123">
        <f>'[5]ПП ВДГ'!J29+'[5]Корсак Л.Р.'!J29+'[5]Корсак В.І.'!J29+[5]Конякіна!J29</f>
        <v>23000</v>
      </c>
      <c r="K29" s="131">
        <f t="shared" si="2"/>
        <v>23000</v>
      </c>
      <c r="L29" s="128">
        <f>'Солар Вест'!L29+Будник!L29</f>
        <v>6696268</v>
      </c>
      <c r="M29" s="128">
        <f>'Солар Вест'!M29+Будник!M29</f>
        <v>0</v>
      </c>
      <c r="N29" s="132">
        <f t="shared" si="3"/>
        <v>6696268</v>
      </c>
      <c r="O29" s="123">
        <f>'[5]ПП ВДГ'!O29+'[5]Корсак Л.Р.'!O29+'[5]Корсак В.І.'!O29+[5]Конякіна!O29</f>
        <v>15000</v>
      </c>
      <c r="P29" s="123">
        <f>'[5]ПП ВДГ'!P29+'[5]Корсак Л.Р.'!P29+'[5]Корсак В.І.'!P29+[5]Конякіна!P29</f>
        <v>23000</v>
      </c>
      <c r="Q29" s="131">
        <f t="shared" si="4"/>
        <v>38000</v>
      </c>
      <c r="R29" s="128">
        <f>'Солар Вест'!R29+Будник!R29</f>
        <v>348840</v>
      </c>
      <c r="S29" s="128">
        <f>'Солар Вест'!S29+Будник!S29</f>
        <v>0</v>
      </c>
      <c r="T29" s="132">
        <f t="shared" si="5"/>
        <v>348840</v>
      </c>
      <c r="U29" s="123">
        <f>'[5]ПП ВДГ'!U29+'[5]Корсак Л.Р.'!U29+'[5]Корсак В.І.'!U29+[5]Конякіна!U29</f>
        <v>120000</v>
      </c>
      <c r="V29" s="123">
        <f>'[5]ПП ВДГ'!V29+'[5]Корсак Л.Р.'!V29+'[5]Корсак В.І.'!V29+[5]Конякіна!V29</f>
        <v>17000</v>
      </c>
      <c r="W29" s="131">
        <f t="shared" si="6"/>
        <v>137000</v>
      </c>
      <c r="X29" s="128">
        <f>'Солар Вест'!X29+Будник!X29</f>
        <v>2000</v>
      </c>
      <c r="Y29" s="128">
        <f>'Солар Вест'!Y29+Будник!Y29</f>
        <v>0</v>
      </c>
      <c r="Z29" s="132">
        <f t="shared" si="7"/>
        <v>2000</v>
      </c>
      <c r="AA29" s="123">
        <f>'[5]ПП ВДГ'!AA29+'[5]Корсак Л.Р.'!AA29+'[5]Корсак В.І.'!AA29+[5]Конякіна!AA29</f>
        <v>15000</v>
      </c>
      <c r="AB29" s="123">
        <f>'[5]ПП ВДГ'!AB29+'[5]Корсак Л.Р.'!AB29+'[5]Корсак В.І.'!AB29+[5]Конякіна!AB29</f>
        <v>21000</v>
      </c>
      <c r="AC29" s="131">
        <f t="shared" si="8"/>
        <v>36000</v>
      </c>
      <c r="AD29" s="128">
        <f>'Солар Вест'!AD29+Будник!AD29</f>
        <v>0</v>
      </c>
      <c r="AE29" s="128">
        <f>'Солар Вест'!AE29+Будник!AE29</f>
        <v>0</v>
      </c>
      <c r="AF29" s="132">
        <f t="shared" si="9"/>
        <v>0</v>
      </c>
      <c r="AG29" s="123">
        <f>'[5]ПП ВДГ'!AG29+'[5]Корсак Л.Р.'!AG29+'[5]Корсак В.І.'!AG29+[5]Конякіна!AG29</f>
        <v>12000</v>
      </c>
      <c r="AH29" s="123">
        <f>'[5]ПП ВДГ'!AH29+'[5]Корсак Л.Р.'!AH29+'[5]Корсак В.І.'!AH29+[5]Конякіна!AH29</f>
        <v>13000</v>
      </c>
      <c r="AI29" s="131">
        <f t="shared" si="10"/>
        <v>25000</v>
      </c>
      <c r="AJ29" s="128">
        <f>'Солар Вест'!AJ29+Будник!AJ29</f>
        <v>100000</v>
      </c>
      <c r="AK29" s="128">
        <f>'Солар Вест'!AK29+Будник!AK29</f>
        <v>0</v>
      </c>
      <c r="AL29" s="132">
        <f t="shared" si="11"/>
        <v>100000</v>
      </c>
      <c r="AM29" s="123">
        <f>'[5]ПП ВДГ'!AM29+'[5]Корсак Л.Р.'!AM29+'[5]Корсак В.І.'!AM29+[5]Конякіна!AM29</f>
        <v>11000</v>
      </c>
      <c r="AN29" s="123">
        <f>'[5]ПП ВДГ'!AN29+'[5]Корсак Л.Р.'!AN29+'[5]Корсак В.І.'!AN29+[5]Конякіна!AN29</f>
        <v>13000</v>
      </c>
      <c r="AO29" s="131">
        <f t="shared" si="12"/>
        <v>24000</v>
      </c>
      <c r="AP29" s="128">
        <f>'Солар Вест'!AP29+Будник!AP29</f>
        <v>0</v>
      </c>
      <c r="AQ29" s="128">
        <f>'Солар Вест'!AQ29+Будник!AQ29</f>
        <v>0</v>
      </c>
      <c r="AR29" s="132">
        <f t="shared" si="13"/>
        <v>0</v>
      </c>
      <c r="AS29" s="123">
        <f>'[5]ПП ВДГ'!AS29+'[5]Корсак Л.Р.'!AS29+'[5]Корсак В.І.'!AS29+[5]Конякіна!AS29</f>
        <v>15000</v>
      </c>
      <c r="AT29" s="123">
        <f>'[5]ПП ВДГ'!AT29+'[5]Корсак Л.Р.'!AT29+'[5]Корсак В.І.'!AT29+[5]Конякіна!AT29</f>
        <v>12000</v>
      </c>
      <c r="AU29" s="131">
        <f t="shared" si="14"/>
        <v>27000</v>
      </c>
      <c r="AV29" s="128">
        <f>'Солар Вест'!AV29+Будник!AV29</f>
        <v>69123.199999999997</v>
      </c>
      <c r="AW29" s="128">
        <f>'Солар Вест'!AW29+Будник!AW29</f>
        <v>105000</v>
      </c>
      <c r="AX29" s="132">
        <f t="shared" si="15"/>
        <v>174123.2</v>
      </c>
      <c r="AY29" s="123">
        <f>'[5]ПП ВДГ'!AY29+'[5]Корсак Л.Р.'!AY29+'[5]Корсак В.І.'!AY29+[5]Конякіна!AY29</f>
        <v>15000</v>
      </c>
      <c r="AZ29" s="123">
        <f>'[5]ПП ВДГ'!AZ29+'[5]Корсак Л.Р.'!AZ29+'[5]Корсак В.І.'!AZ29+[5]Конякіна!AZ29</f>
        <v>21000</v>
      </c>
      <c r="BA29" s="131">
        <f t="shared" si="16"/>
        <v>36000</v>
      </c>
      <c r="BB29" s="128">
        <f>'Солар Вест'!BB29+Будник!BB29</f>
        <v>54000</v>
      </c>
      <c r="BC29" s="128">
        <f>'Солар Вест'!BC29+Будник!BC29</f>
        <v>0</v>
      </c>
      <c r="BD29" s="132">
        <f t="shared" si="17"/>
        <v>54000</v>
      </c>
      <c r="BE29" s="128">
        <f>'Солар Вест'!BE29+Будник!BE29</f>
        <v>68500</v>
      </c>
      <c r="BF29" s="128">
        <f>'Солар Вест'!BF29+Будник!BF29</f>
        <v>8120</v>
      </c>
      <c r="BG29" s="131">
        <f t="shared" si="18"/>
        <v>76620</v>
      </c>
      <c r="BH29" s="128">
        <f>'Солар Вест'!BH29+Будник!BH29</f>
        <v>0</v>
      </c>
      <c r="BI29" s="128">
        <f>'Солар Вест'!BI29+Будник!BI29</f>
        <v>0</v>
      </c>
      <c r="BJ29" s="132">
        <f t="shared" si="19"/>
        <v>0</v>
      </c>
      <c r="BK29" s="123">
        <f>'[5]ПП ВДГ'!BK29+'[5]Корсак Л.Р.'!BK29+'[5]Корсак В.І.'!BK29+[5]Конякіна!BK29</f>
        <v>15000</v>
      </c>
      <c r="BL29" s="123">
        <f>'[5]ПП ВДГ'!BL29+'[5]Корсак Л.Р.'!BL29+'[5]Корсак В.І.'!BL29+[5]Конякіна!BL29</f>
        <v>23000</v>
      </c>
      <c r="BM29" s="131">
        <f t="shared" si="20"/>
        <v>38000</v>
      </c>
      <c r="BN29" s="128">
        <f>'Солар Вест'!BN29+Будник!BN29</f>
        <v>0</v>
      </c>
      <c r="BO29" s="128">
        <f>'Солар Вест'!BO29+Будник!BO29</f>
        <v>0</v>
      </c>
      <c r="BP29" s="132">
        <f t="shared" si="21"/>
        <v>0</v>
      </c>
      <c r="BQ29" s="123">
        <f>'[5]ПП ВДГ'!BQ29+'[5]Корсак Л.Р.'!BQ29+'[5]Корсак В.І.'!BQ29+[5]Конякіна!BQ29</f>
        <v>10000</v>
      </c>
      <c r="BR29" s="123">
        <f>'[5]ПП ВДГ'!BR29+'[5]Корсак Л.Р.'!BR29+'[5]Корсак В.І.'!BR29+[5]Конякіна!BR29</f>
        <v>13000</v>
      </c>
      <c r="BS29" s="131">
        <f t="shared" si="22"/>
        <v>23000</v>
      </c>
      <c r="BT29" s="128">
        <f>'Солар Вест'!BT29+Будник!BT29</f>
        <v>0</v>
      </c>
      <c r="BU29" s="128">
        <f>'Солар Вест'!BU29+Будник!BU29</f>
        <v>0</v>
      </c>
      <c r="BV29" s="132">
        <f t="shared" si="23"/>
        <v>0</v>
      </c>
      <c r="BW29" s="123">
        <f t="shared" si="24"/>
        <v>296500</v>
      </c>
      <c r="BX29" s="123">
        <f t="shared" si="24"/>
        <v>210120</v>
      </c>
      <c r="BY29" s="131">
        <f t="shared" si="25"/>
        <v>506620</v>
      </c>
      <c r="BZ29" s="123">
        <f t="shared" si="26"/>
        <v>7270231.2000000002</v>
      </c>
      <c r="CA29" s="123">
        <f t="shared" si="26"/>
        <v>105000</v>
      </c>
      <c r="CB29" s="132">
        <f t="shared" si="27"/>
        <v>7375231.2000000002</v>
      </c>
    </row>
    <row r="30" spans="1:80" x14ac:dyDescent="0.2">
      <c r="A30" s="133"/>
      <c r="B30" s="134" t="s">
        <v>45</v>
      </c>
      <c r="C30" s="135">
        <f>C12+C14+C16+C18+C20+C21+C22+C24+C26+C27+C28+C29</f>
        <v>175000</v>
      </c>
      <c r="D30" s="135">
        <f t="shared" ref="D30:BM30" si="28">D12+D14+D16+D18+D20+D21+D22+D24+D26+D27+D28+D29</f>
        <v>214000</v>
      </c>
      <c r="E30" s="135">
        <f t="shared" si="28"/>
        <v>389000</v>
      </c>
      <c r="F30" s="135">
        <f t="shared" si="28"/>
        <v>417791.1</v>
      </c>
      <c r="G30" s="135">
        <f t="shared" si="28"/>
        <v>232210</v>
      </c>
      <c r="H30" s="135">
        <f t="shared" si="28"/>
        <v>650001.1</v>
      </c>
      <c r="I30" s="135">
        <f t="shared" si="28"/>
        <v>175000</v>
      </c>
      <c r="J30" s="135">
        <f t="shared" si="28"/>
        <v>214000</v>
      </c>
      <c r="K30" s="135">
        <f t="shared" si="28"/>
        <v>389000</v>
      </c>
      <c r="L30" s="135">
        <f t="shared" ref="L30:M30" si="29">L12+L14+L16+L18+L20+L21+L22+L24+L26+L27+L28+L29</f>
        <v>6994302.5999999996</v>
      </c>
      <c r="M30" s="135">
        <f t="shared" si="29"/>
        <v>172400</v>
      </c>
      <c r="N30" s="135">
        <f t="shared" si="28"/>
        <v>7166702.5999999996</v>
      </c>
      <c r="O30" s="135">
        <f t="shared" si="28"/>
        <v>191700</v>
      </c>
      <c r="P30" s="135">
        <f t="shared" si="28"/>
        <v>214000</v>
      </c>
      <c r="Q30" s="135">
        <f t="shared" si="28"/>
        <v>405700</v>
      </c>
      <c r="R30" s="135">
        <f t="shared" ref="R30:S30" si="30">R12+R14+R16+R18+R20+R21+R22+R24+R26+R27+R28+R29</f>
        <v>4745105.55</v>
      </c>
      <c r="S30" s="135">
        <f t="shared" si="30"/>
        <v>268010</v>
      </c>
      <c r="T30" s="135">
        <f t="shared" si="28"/>
        <v>5013115.55</v>
      </c>
      <c r="U30" s="135">
        <f t="shared" si="28"/>
        <v>390000</v>
      </c>
      <c r="V30" s="135">
        <f t="shared" si="28"/>
        <v>114000</v>
      </c>
      <c r="W30" s="135">
        <f t="shared" si="28"/>
        <v>504000</v>
      </c>
      <c r="X30" s="135">
        <f t="shared" ref="X30:Y30" si="31">X12+X14+X16+X18+X20+X21+X22+X24+X26+X27+X28+X29</f>
        <v>2537318.44</v>
      </c>
      <c r="Y30" s="135">
        <f t="shared" si="31"/>
        <v>545358</v>
      </c>
      <c r="Z30" s="135">
        <f t="shared" si="28"/>
        <v>3082676.44</v>
      </c>
      <c r="AA30" s="135">
        <f t="shared" si="28"/>
        <v>191800</v>
      </c>
      <c r="AB30" s="135">
        <f t="shared" si="28"/>
        <v>215200</v>
      </c>
      <c r="AC30" s="135">
        <f t="shared" si="28"/>
        <v>407000</v>
      </c>
      <c r="AD30" s="135">
        <f t="shared" ref="AD30:AE30" si="32">AD12+AD14+AD16+AD18+AD20+AD21+AD22+AD24+AD26+AD27+AD28+AD29</f>
        <v>1147820.8700000001</v>
      </c>
      <c r="AE30" s="135">
        <f t="shared" si="32"/>
        <v>717530</v>
      </c>
      <c r="AF30" s="135">
        <f t="shared" si="28"/>
        <v>1865350.87</v>
      </c>
      <c r="AG30" s="135">
        <f t="shared" si="28"/>
        <v>193800</v>
      </c>
      <c r="AH30" s="135">
        <f t="shared" si="28"/>
        <v>215500</v>
      </c>
      <c r="AI30" s="135">
        <f t="shared" si="28"/>
        <v>409300</v>
      </c>
      <c r="AJ30" s="135">
        <f t="shared" ref="AJ30:AK30" si="33">AJ12+AJ14+AJ16+AJ18+AJ20+AJ21+AJ22+AJ24+AJ26+AJ27+AJ28+AJ29</f>
        <v>4856033.33</v>
      </c>
      <c r="AK30" s="135">
        <f t="shared" si="33"/>
        <v>662378</v>
      </c>
      <c r="AL30" s="135">
        <f t="shared" si="28"/>
        <v>5518411.3300000001</v>
      </c>
      <c r="AM30" s="135">
        <f t="shared" si="28"/>
        <v>187750</v>
      </c>
      <c r="AN30" s="135">
        <f t="shared" si="28"/>
        <v>210700</v>
      </c>
      <c r="AO30" s="135">
        <f t="shared" si="28"/>
        <v>398450</v>
      </c>
      <c r="AP30" s="135">
        <f t="shared" ref="AP30:AQ30" si="34">AP12+AP14+AP16+AP18+AP20+AP21+AP22+AP24+AP26+AP27+AP28+AP29</f>
        <v>1246245.5899999999</v>
      </c>
      <c r="AQ30" s="135">
        <f t="shared" si="34"/>
        <v>231375</v>
      </c>
      <c r="AR30" s="135">
        <f t="shared" si="28"/>
        <v>1477620.5899999999</v>
      </c>
      <c r="AS30" s="135">
        <f t="shared" si="28"/>
        <v>191800</v>
      </c>
      <c r="AT30" s="135">
        <f t="shared" si="28"/>
        <v>206700</v>
      </c>
      <c r="AU30" s="135">
        <f t="shared" si="28"/>
        <v>398500</v>
      </c>
      <c r="AV30" s="135">
        <f t="shared" ref="AV30:AW30" si="35">AV12+AV14+AV16+AV18+AV20+AV21+AV22+AV24+AV26+AV27+AV28+AV29</f>
        <v>862231.7</v>
      </c>
      <c r="AW30" s="135">
        <f t="shared" si="35"/>
        <v>407092</v>
      </c>
      <c r="AX30" s="135">
        <f t="shared" si="28"/>
        <v>1269323.7</v>
      </c>
      <c r="AY30" s="135">
        <f t="shared" si="28"/>
        <v>191700</v>
      </c>
      <c r="AZ30" s="135">
        <f t="shared" si="28"/>
        <v>212000</v>
      </c>
      <c r="BA30" s="135">
        <f t="shared" si="28"/>
        <v>403700</v>
      </c>
      <c r="BB30" s="135">
        <f t="shared" ref="BB30:BC30" si="36">BB12+BB14+BB16+BB18+BB20+BB21+BB22+BB24+BB26+BB27+BB28+BB29</f>
        <v>1433566.5</v>
      </c>
      <c r="BC30" s="135">
        <f t="shared" si="36"/>
        <v>285710</v>
      </c>
      <c r="BD30" s="135">
        <f t="shared" si="28"/>
        <v>1719276.5</v>
      </c>
      <c r="BE30" s="135">
        <f t="shared" si="28"/>
        <v>652067.42000000004</v>
      </c>
      <c r="BF30" s="135">
        <f t="shared" si="28"/>
        <v>417913</v>
      </c>
      <c r="BG30" s="135">
        <f t="shared" si="28"/>
        <v>1069980.42</v>
      </c>
      <c r="BH30" s="135">
        <f t="shared" ref="BH30:BI30" si="37">BH12+BH14+BH16+BH18+BH20+BH21+BH22+BH24+BH26+BH27+BH28+BH29</f>
        <v>0</v>
      </c>
      <c r="BI30" s="135">
        <f t="shared" si="37"/>
        <v>0</v>
      </c>
      <c r="BJ30" s="135">
        <f t="shared" si="28"/>
        <v>0</v>
      </c>
      <c r="BK30" s="135">
        <f t="shared" si="28"/>
        <v>191850</v>
      </c>
      <c r="BL30" s="135">
        <f t="shared" si="28"/>
        <v>206000</v>
      </c>
      <c r="BM30" s="135">
        <f t="shared" si="28"/>
        <v>397850</v>
      </c>
      <c r="BN30" s="135">
        <f t="shared" ref="BN30:BO30" si="38">BN12+BN14+BN16+BN18+BN20+BN21+BN22+BN24+BN26+BN27+BN28+BN29</f>
        <v>0</v>
      </c>
      <c r="BO30" s="135">
        <f t="shared" si="38"/>
        <v>0</v>
      </c>
      <c r="BP30" s="135">
        <f t="shared" ref="BP30:CB30" si="39">BP12+BP14+BP16+BP18+BP20+BP21+BP22+BP24+BP26+BP27+BP28+BP29</f>
        <v>0</v>
      </c>
      <c r="BQ30" s="135">
        <f t="shared" si="39"/>
        <v>246900</v>
      </c>
      <c r="BR30" s="135">
        <f t="shared" si="39"/>
        <v>148000</v>
      </c>
      <c r="BS30" s="135">
        <f t="shared" si="39"/>
        <v>394900</v>
      </c>
      <c r="BT30" s="135">
        <f t="shared" si="39"/>
        <v>0</v>
      </c>
      <c r="BU30" s="135">
        <f t="shared" si="39"/>
        <v>0</v>
      </c>
      <c r="BV30" s="135">
        <f t="shared" si="39"/>
        <v>0</v>
      </c>
      <c r="BW30" s="135">
        <f t="shared" si="39"/>
        <v>2979367.42</v>
      </c>
      <c r="BX30" s="135">
        <f t="shared" si="39"/>
        <v>2588013</v>
      </c>
      <c r="BY30" s="135">
        <f t="shared" si="39"/>
        <v>5567380.4199999999</v>
      </c>
      <c r="BZ30" s="135">
        <f t="shared" si="39"/>
        <v>24240415.68</v>
      </c>
      <c r="CA30" s="135">
        <f t="shared" si="39"/>
        <v>3522063</v>
      </c>
      <c r="CB30" s="135">
        <f t="shared" si="39"/>
        <v>27762478.679999996</v>
      </c>
    </row>
    <row r="31" spans="1:80" ht="15" x14ac:dyDescent="0.2">
      <c r="A31" s="118" t="s">
        <v>46</v>
      </c>
      <c r="B31" s="118"/>
      <c r="C31" s="136"/>
      <c r="D31" s="136"/>
      <c r="E31" s="136"/>
      <c r="F31" s="137"/>
      <c r="G31" s="137"/>
      <c r="H31" s="137"/>
      <c r="I31" s="136"/>
      <c r="J31" s="136"/>
      <c r="K31" s="136"/>
      <c r="L31" s="137"/>
      <c r="M31" s="137"/>
      <c r="N31" s="137"/>
      <c r="O31" s="136"/>
      <c r="P31" s="136"/>
      <c r="Q31" s="136"/>
      <c r="R31" s="137"/>
      <c r="S31" s="137"/>
      <c r="T31" s="137"/>
      <c r="U31" s="136"/>
      <c r="V31" s="136"/>
      <c r="W31" s="136"/>
      <c r="X31" s="137"/>
      <c r="Y31" s="137"/>
      <c r="Z31" s="137"/>
      <c r="AA31" s="136"/>
      <c r="AB31" s="136"/>
      <c r="AC31" s="136"/>
      <c r="AD31" s="137"/>
      <c r="AE31" s="137"/>
      <c r="AF31" s="137"/>
      <c r="AG31" s="136"/>
      <c r="AH31" s="136"/>
      <c r="AI31" s="136"/>
      <c r="AJ31" s="137"/>
      <c r="AK31" s="137"/>
      <c r="AL31" s="137"/>
      <c r="AM31" s="136"/>
      <c r="AN31" s="136"/>
      <c r="AO31" s="136"/>
      <c r="AP31" s="137"/>
      <c r="AQ31" s="137"/>
      <c r="AR31" s="137"/>
      <c r="AS31" s="136"/>
      <c r="AT31" s="136"/>
      <c r="AU31" s="136"/>
      <c r="AV31" s="137"/>
      <c r="AW31" s="137"/>
      <c r="AX31" s="137"/>
      <c r="AY31" s="136"/>
      <c r="AZ31" s="136"/>
      <c r="BA31" s="136"/>
      <c r="BB31" s="137"/>
      <c r="BC31" s="137"/>
      <c r="BD31" s="137"/>
      <c r="BE31" s="137"/>
      <c r="BF31" s="137"/>
      <c r="BG31" s="136"/>
      <c r="BH31" s="137"/>
      <c r="BI31" s="137"/>
      <c r="BJ31" s="137"/>
      <c r="BK31" s="136"/>
      <c r="BL31" s="136"/>
      <c r="BM31" s="136"/>
      <c r="BN31" s="137"/>
      <c r="BO31" s="137"/>
      <c r="BP31" s="137"/>
      <c r="BQ31" s="136"/>
      <c r="BR31" s="136"/>
      <c r="BS31" s="136"/>
      <c r="BT31" s="137"/>
      <c r="BU31" s="137"/>
      <c r="BV31" s="137"/>
      <c r="BW31" s="136"/>
      <c r="BX31" s="136"/>
      <c r="BY31" s="136"/>
      <c r="BZ31" s="137"/>
      <c r="CA31" s="137"/>
      <c r="CB31" s="137"/>
    </row>
    <row r="32" spans="1:80" x14ac:dyDescent="0.2">
      <c r="A32" s="121">
        <v>121</v>
      </c>
      <c r="B32" s="130" t="s">
        <v>47</v>
      </c>
      <c r="C32" s="123">
        <f>'[5]ПП ВДГ'!C32+'[5]Корсак Л.Р.'!C32+'[5]Корсак В.І.'!C32+[5]Конякіна!C32</f>
        <v>0</v>
      </c>
      <c r="D32" s="123">
        <f>'[5]ПП ВДГ'!D32+'[5]Корсак Л.Р.'!D32+'[5]Корсак В.І.'!D32+[5]Конякіна!D32</f>
        <v>0</v>
      </c>
      <c r="E32" s="131">
        <f t="shared" ref="E32:E69" si="40">SUM(C32:D32)</f>
        <v>0</v>
      </c>
      <c r="F32" s="128">
        <f>'Солар Вест'!F32+Будник!F32</f>
        <v>418010.02</v>
      </c>
      <c r="G32" s="128">
        <f>'Солар Вест'!G32+Будник!G32</f>
        <v>831</v>
      </c>
      <c r="H32" s="132">
        <f t="shared" ref="H32:H69" si="41">SUM(F32:G32)</f>
        <v>418841.02</v>
      </c>
      <c r="I32" s="123">
        <f>'[5]ПП ВДГ'!I32+'[5]Корсак Л.Р.'!I32+'[5]Корсак В.І.'!I32+[5]Конякіна!I32</f>
        <v>0</v>
      </c>
      <c r="J32" s="123">
        <f>'[5]ПП ВДГ'!J32+'[5]Корсак Л.Р.'!J32+'[5]Корсак В.І.'!J32+[5]Конякіна!J32</f>
        <v>0</v>
      </c>
      <c r="K32" s="131">
        <f t="shared" ref="K32:K69" si="42">SUM(I32:J32)</f>
        <v>0</v>
      </c>
      <c r="L32" s="128">
        <f>'Солар Вест'!L32+Будник!L32</f>
        <v>543077.16</v>
      </c>
      <c r="M32" s="128">
        <f>'Солар Вест'!M32+Будник!M32</f>
        <v>1071</v>
      </c>
      <c r="N32" s="132">
        <f t="shared" ref="N32:N69" si="43">SUM(L32:M32)</f>
        <v>544148.16</v>
      </c>
      <c r="O32" s="123">
        <f>'[5]ПП ВДГ'!O32+'[5]Корсак Л.Р.'!O32+'[5]Корсак В.І.'!O32+[5]Конякіна!O32</f>
        <v>0</v>
      </c>
      <c r="P32" s="123">
        <f>'[5]ПП ВДГ'!P32+'[5]Корсак Л.Р.'!P32+'[5]Корсак В.І.'!P32+[5]Конякіна!P32</f>
        <v>0</v>
      </c>
      <c r="Q32" s="131">
        <f t="shared" ref="Q32:Q69" si="44">SUM(O32:P32)</f>
        <v>0</v>
      </c>
      <c r="R32" s="128">
        <f>'Солар Вест'!R32+Будник!R32</f>
        <v>4071799.31</v>
      </c>
      <c r="S32" s="128">
        <f>'Солар Вест'!S32+Будник!S32</f>
        <v>0</v>
      </c>
      <c r="T32" s="132">
        <f t="shared" ref="T32:T69" si="45">SUM(R32:S32)</f>
        <v>4071799.31</v>
      </c>
      <c r="U32" s="123">
        <f>'[5]ПП ВДГ'!U32+'[5]Корсак Л.Р.'!U32+'[5]Корсак В.І.'!U32+[5]Конякіна!U32</f>
        <v>0</v>
      </c>
      <c r="V32" s="123">
        <f>'[5]ПП ВДГ'!V32+'[5]Корсак Л.Р.'!V32+'[5]Корсак В.І.'!V32+[5]Конякіна!V32</f>
        <v>0</v>
      </c>
      <c r="W32" s="131">
        <f t="shared" ref="W32:W69" si="46">SUM(U32:V32)</f>
        <v>0</v>
      </c>
      <c r="X32" s="128">
        <f>'Солар Вест'!X32+Будник!X32</f>
        <v>1921222.9700000002</v>
      </c>
      <c r="Y32" s="128">
        <f>'Солар Вест'!Y32+Будник!Y32</f>
        <v>0</v>
      </c>
      <c r="Z32" s="132">
        <f t="shared" ref="Z32:Z69" si="47">SUM(X32:Y32)</f>
        <v>1921222.9700000002</v>
      </c>
      <c r="AA32" s="123">
        <f>'[5]ПП ВДГ'!AA32+'[5]Корсак Л.Р.'!AA32+'[5]Корсак В.І.'!AA32+[5]Конякіна!AA32</f>
        <v>0</v>
      </c>
      <c r="AB32" s="123">
        <f>'[5]ПП ВДГ'!AB32+'[5]Корсак Л.Р.'!AB32+'[5]Корсак В.І.'!AB32+[5]Конякіна!AB32</f>
        <v>0</v>
      </c>
      <c r="AC32" s="131">
        <f t="shared" ref="AC32:AC69" si="48">SUM(AA32:AB32)</f>
        <v>0</v>
      </c>
      <c r="AD32" s="128">
        <f>'Солар Вест'!AD32+Будник!AD32</f>
        <v>816349.37</v>
      </c>
      <c r="AE32" s="128">
        <f>'Солар Вест'!AE32+Будник!AE32</f>
        <v>0</v>
      </c>
      <c r="AF32" s="132">
        <f t="shared" ref="AF32:AF69" si="49">SUM(AD32:AE32)</f>
        <v>816349.37</v>
      </c>
      <c r="AG32" s="123">
        <f>'[5]ПП ВДГ'!AG32+'[5]Корсак Л.Р.'!AG32+'[5]Корсак В.І.'!AG32+[5]Конякіна!AG32</f>
        <v>0</v>
      </c>
      <c r="AH32" s="123">
        <f>'[5]ПП ВДГ'!AH32+'[5]Корсак Л.Р.'!AH32+'[5]Корсак В.І.'!AH32+[5]Конякіна!AH32</f>
        <v>0</v>
      </c>
      <c r="AI32" s="131">
        <f t="shared" ref="AI32:AI69" si="50">SUM(AG32:AH32)</f>
        <v>0</v>
      </c>
      <c r="AJ32" s="128">
        <f>'Солар Вест'!AJ32+Будник!AJ32</f>
        <v>4662456.72</v>
      </c>
      <c r="AK32" s="128">
        <f>'Солар Вест'!AK32+Будник!AK32</f>
        <v>0</v>
      </c>
      <c r="AL32" s="132">
        <f t="shared" ref="AL32:AL69" si="51">SUM(AJ32:AK32)</f>
        <v>4662456.72</v>
      </c>
      <c r="AM32" s="123">
        <f>'[5]ПП ВДГ'!AM32+'[5]Корсак Л.Р.'!AM32+'[5]Корсак В.І.'!AM32+[5]Конякіна!AM32</f>
        <v>0</v>
      </c>
      <c r="AN32" s="123">
        <f>'[5]ПП ВДГ'!AN32+'[5]Корсак Л.Р.'!AN32+'[5]Корсак В.І.'!AN32+[5]Конякіна!AN32</f>
        <v>0</v>
      </c>
      <c r="AO32" s="131">
        <f t="shared" ref="AO32:AO69" si="52">SUM(AM32:AN32)</f>
        <v>0</v>
      </c>
      <c r="AP32" s="128">
        <f>'Солар Вест'!AP32+Будник!AP32</f>
        <v>607458.15</v>
      </c>
      <c r="AQ32" s="128">
        <f>'Солар Вест'!AQ32+Будник!AQ32</f>
        <v>0</v>
      </c>
      <c r="AR32" s="132">
        <f t="shared" ref="AR32:AR69" si="53">SUM(AP32:AQ32)</f>
        <v>607458.15</v>
      </c>
      <c r="AS32" s="123">
        <f>'[5]ПП ВДГ'!AS32+'[5]Корсак Л.Р.'!AS32+'[5]Корсак В.І.'!AS32+[5]Конякіна!AS32</f>
        <v>0</v>
      </c>
      <c r="AT32" s="123">
        <f>'[5]ПП ВДГ'!AT32+'[5]Корсак Л.Р.'!AT32+'[5]Корсак В.І.'!AT32+[5]Конякіна!AT32</f>
        <v>0</v>
      </c>
      <c r="AU32" s="131">
        <f t="shared" ref="AU32:AU69" si="54">SUM(AS32:AT32)</f>
        <v>0</v>
      </c>
      <c r="AV32" s="128">
        <f>'Солар Вест'!AV32+Будник!AV32</f>
        <v>475720.1</v>
      </c>
      <c r="AW32" s="128">
        <f>'Солар Вест'!AW32+Будник!AW32</f>
        <v>85388</v>
      </c>
      <c r="AX32" s="132">
        <f t="shared" ref="AX32:AX69" si="55">SUM(AV32:AW32)</f>
        <v>561108.1</v>
      </c>
      <c r="AY32" s="123">
        <f>'[5]ПП ВДГ'!AY32+'[5]Корсак Л.Р.'!AY32+'[5]Корсак В.І.'!AY32+[5]Конякіна!AY32</f>
        <v>0</v>
      </c>
      <c r="AZ32" s="123">
        <f>'[5]ПП ВДГ'!AZ32+'[5]Корсак Л.Р.'!AZ32+'[5]Корсак В.І.'!AZ32+[5]Конякіна!AZ32</f>
        <v>0</v>
      </c>
      <c r="BA32" s="131">
        <f t="shared" ref="BA32:BA69" si="56">SUM(AY32:AZ32)</f>
        <v>0</v>
      </c>
      <c r="BB32" s="128">
        <f>'Солар Вест'!BB32+Будник!BB32</f>
        <v>643155.93000000005</v>
      </c>
      <c r="BC32" s="128">
        <f>'Солар Вест'!BC32+Будник!BC32</f>
        <v>4681</v>
      </c>
      <c r="BD32" s="132">
        <f t="shared" ref="BD32:BD69" si="57">SUM(BB32:BC32)</f>
        <v>647836.93000000005</v>
      </c>
      <c r="BE32" s="128">
        <f>'Солар Вест'!BE32+Будник!BE32</f>
        <v>548552.47</v>
      </c>
      <c r="BF32" s="128">
        <f>'Солар Вест'!BF32+Будник!BF32</f>
        <v>50521</v>
      </c>
      <c r="BG32" s="131">
        <f t="shared" ref="BG32:BG69" si="58">SUM(BE32:BF32)</f>
        <v>599073.47</v>
      </c>
      <c r="BH32" s="128">
        <f>'Солар Вест'!BH32+Будник!BH32</f>
        <v>0</v>
      </c>
      <c r="BI32" s="128">
        <f>'Солар Вест'!BI32+Будник!BI32</f>
        <v>0</v>
      </c>
      <c r="BJ32" s="132">
        <f t="shared" ref="BJ32:BJ69" si="59">SUM(BH32:BI32)</f>
        <v>0</v>
      </c>
      <c r="BK32" s="123">
        <f>'[5]ПП ВДГ'!BK32+'[5]Корсак Л.Р.'!BK32+'[5]Корсак В.І.'!BK32+[5]Конякіна!BK32</f>
        <v>0</v>
      </c>
      <c r="BL32" s="123">
        <f>'[5]ПП ВДГ'!BL32+'[5]Корсак Л.Р.'!BL32+'[5]Корсак В.І.'!BL32+[5]Конякіна!BL32</f>
        <v>0</v>
      </c>
      <c r="BM32" s="131">
        <f t="shared" ref="BM32:BM69" si="60">SUM(BK32:BL32)</f>
        <v>0</v>
      </c>
      <c r="BN32" s="128">
        <f>'Солар Вест'!BN32+Будник!BN32</f>
        <v>0</v>
      </c>
      <c r="BO32" s="128">
        <f>'Солар Вест'!BO32+Будник!BO32</f>
        <v>0</v>
      </c>
      <c r="BP32" s="132">
        <f t="shared" ref="BP32:BP69" si="61">SUM(BN32:BO32)</f>
        <v>0</v>
      </c>
      <c r="BQ32" s="123">
        <f>'[5]ПП ВДГ'!BQ32+'[5]Корсак Л.Р.'!BQ32+'[5]Корсак В.І.'!BQ32+[5]Конякіна!BQ32</f>
        <v>0</v>
      </c>
      <c r="BR32" s="123">
        <f>'[5]ПП ВДГ'!BR32+'[5]Корсак Л.Р.'!BR32+'[5]Корсак В.І.'!BR32+[5]Конякіна!BR32</f>
        <v>0</v>
      </c>
      <c r="BS32" s="131">
        <f t="shared" ref="BS32:BS69" si="62">SUM(BQ32:BR32)</f>
        <v>0</v>
      </c>
      <c r="BT32" s="128">
        <f>'Солар Вест'!BT32+Будник!BT32</f>
        <v>0</v>
      </c>
      <c r="BU32" s="128">
        <f>'Солар Вест'!BU32+Будник!BU32</f>
        <v>0</v>
      </c>
      <c r="BV32" s="132">
        <f t="shared" ref="BV32:BV69" si="63">SUM(BT32:BU32)</f>
        <v>0</v>
      </c>
      <c r="BW32" s="123">
        <f t="shared" ref="BW32:BX69" si="64">+C32+I32+O32+AA32+AG32+U32+AM32+AS32+AY32+BE32+BK32+BQ32</f>
        <v>548552.47</v>
      </c>
      <c r="BX32" s="123">
        <f t="shared" si="64"/>
        <v>50521</v>
      </c>
      <c r="BY32" s="131">
        <f t="shared" ref="BY32:BY69" si="65">SUM(BW32:BX32)</f>
        <v>599073.47</v>
      </c>
      <c r="BZ32" s="123">
        <f t="shared" ref="BZ32:CA69" si="66">+F32+L32+R32+AD32+AJ32+X32+AP32+AV32+BB32+BH32+BN32+BT32</f>
        <v>14159249.73</v>
      </c>
      <c r="CA32" s="123">
        <f t="shared" si="66"/>
        <v>91971</v>
      </c>
      <c r="CB32" s="132">
        <f t="shared" ref="CB32:CB69" si="67">SUM(BZ32:CA32)</f>
        <v>14251220.73</v>
      </c>
    </row>
    <row r="33" spans="1:80" ht="25.5" x14ac:dyDescent="0.2">
      <c r="A33" s="121"/>
      <c r="B33" s="138" t="s">
        <v>48</v>
      </c>
      <c r="C33" s="123">
        <f>'[5]ПП ВДГ'!C33+'[5]Корсак Л.Р.'!C33+'[5]Корсак В.І.'!C33+[5]Конякіна!C33</f>
        <v>0</v>
      </c>
      <c r="D33" s="123">
        <f>'[5]ПП ВДГ'!D33+'[5]Корсак Л.Р.'!D33+'[5]Корсак В.І.'!D33+[5]Конякіна!D33</f>
        <v>0</v>
      </c>
      <c r="E33" s="139">
        <f t="shared" si="40"/>
        <v>0</v>
      </c>
      <c r="F33" s="126">
        <f>'Солар Вест'!F33+Будник!F33</f>
        <v>0</v>
      </c>
      <c r="G33" s="126">
        <f>'Солар Вест'!G33+Будник!G33</f>
        <v>0</v>
      </c>
      <c r="H33" s="140">
        <f t="shared" si="41"/>
        <v>0</v>
      </c>
      <c r="I33" s="123">
        <f>'[5]ПП ВДГ'!I33+'[5]Корсак Л.Р.'!I33+'[5]Корсак В.І.'!I33+[5]Конякіна!I33</f>
        <v>0</v>
      </c>
      <c r="J33" s="123">
        <f>'[5]ПП ВДГ'!J33+'[5]Корсак Л.Р.'!J33+'[5]Корсак В.І.'!J33+[5]Конякіна!J33</f>
        <v>0</v>
      </c>
      <c r="K33" s="139">
        <f t="shared" si="42"/>
        <v>0</v>
      </c>
      <c r="L33" s="126">
        <f>'Солар Вест'!L33+Будник!L33</f>
        <v>0</v>
      </c>
      <c r="M33" s="126">
        <f>'Солар Вест'!M33+Будник!M33</f>
        <v>0</v>
      </c>
      <c r="N33" s="140">
        <f t="shared" si="43"/>
        <v>0</v>
      </c>
      <c r="O33" s="123">
        <f>'[5]ПП ВДГ'!O33+'[5]Корсак Л.Р.'!O33+'[5]Корсак В.І.'!O33+[5]Конякіна!O33</f>
        <v>0</v>
      </c>
      <c r="P33" s="123">
        <f>'[5]ПП ВДГ'!P33+'[5]Корсак Л.Р.'!P33+'[5]Корсак В.І.'!P33+[5]Конякіна!P33</f>
        <v>0</v>
      </c>
      <c r="Q33" s="139">
        <f t="shared" si="44"/>
        <v>0</v>
      </c>
      <c r="R33" s="126">
        <f>'Солар Вест'!R33+Будник!R33</f>
        <v>0</v>
      </c>
      <c r="S33" s="126">
        <f>'Солар Вест'!S33+Будник!S33</f>
        <v>0</v>
      </c>
      <c r="T33" s="140">
        <f t="shared" si="45"/>
        <v>0</v>
      </c>
      <c r="U33" s="123">
        <f>'[5]ПП ВДГ'!U33+'[5]Корсак Л.Р.'!U33+'[5]Корсак В.І.'!U33+[5]Конякіна!U33</f>
        <v>0</v>
      </c>
      <c r="V33" s="123">
        <f>'[5]ПП ВДГ'!V33+'[5]Корсак Л.Р.'!V33+'[5]Корсак В.І.'!V33+[5]Конякіна!V33</f>
        <v>0</v>
      </c>
      <c r="W33" s="139">
        <f t="shared" si="46"/>
        <v>0</v>
      </c>
      <c r="X33" s="126">
        <f>'Солар Вест'!X33+Будник!X33</f>
        <v>0</v>
      </c>
      <c r="Y33" s="126">
        <f>'Солар Вест'!Y33+Будник!Y33</f>
        <v>0</v>
      </c>
      <c r="Z33" s="140">
        <f t="shared" si="47"/>
        <v>0</v>
      </c>
      <c r="AA33" s="123">
        <f>'[5]ПП ВДГ'!AA33+'[5]Корсак Л.Р.'!AA33+'[5]Корсак В.І.'!AA33+[5]Конякіна!AA33</f>
        <v>0</v>
      </c>
      <c r="AB33" s="123">
        <f>'[5]ПП ВДГ'!AB33+'[5]Корсак Л.Р.'!AB33+'[5]Корсак В.І.'!AB33+[5]Конякіна!AB33</f>
        <v>0</v>
      </c>
      <c r="AC33" s="139">
        <f t="shared" si="48"/>
        <v>0</v>
      </c>
      <c r="AD33" s="126">
        <f>'Солар Вест'!AD33+Будник!AD33</f>
        <v>0</v>
      </c>
      <c r="AE33" s="126">
        <f>'Солар Вест'!AE33+Будник!AE33</f>
        <v>0</v>
      </c>
      <c r="AF33" s="140">
        <f t="shared" si="49"/>
        <v>0</v>
      </c>
      <c r="AG33" s="123">
        <f>'[5]ПП ВДГ'!AG33+'[5]Корсак Л.Р.'!AG33+'[5]Корсак В.І.'!AG33+[5]Конякіна!AG33</f>
        <v>0</v>
      </c>
      <c r="AH33" s="123">
        <f>'[5]ПП ВДГ'!AH33+'[5]Корсак Л.Р.'!AH33+'[5]Корсак В.І.'!AH33+[5]Конякіна!AH33</f>
        <v>0</v>
      </c>
      <c r="AI33" s="139">
        <f t="shared" si="50"/>
        <v>0</v>
      </c>
      <c r="AJ33" s="126">
        <f>'Солар Вест'!AJ33+Будник!AJ33</f>
        <v>0</v>
      </c>
      <c r="AK33" s="126">
        <f>'Солар Вест'!AK33+Будник!AK33</f>
        <v>0</v>
      </c>
      <c r="AL33" s="140">
        <f t="shared" si="51"/>
        <v>0</v>
      </c>
      <c r="AM33" s="123">
        <f>'[5]ПП ВДГ'!AM33+'[5]Корсак Л.Р.'!AM33+'[5]Корсак В.І.'!AM33+[5]Конякіна!AM33</f>
        <v>0</v>
      </c>
      <c r="AN33" s="123">
        <f>'[5]ПП ВДГ'!AN33+'[5]Корсак Л.Р.'!AN33+'[5]Корсак В.І.'!AN33+[5]Конякіна!AN33</f>
        <v>0</v>
      </c>
      <c r="AO33" s="139">
        <f t="shared" si="52"/>
        <v>0</v>
      </c>
      <c r="AP33" s="126">
        <f>'Солар Вест'!AP33+Будник!AP33</f>
        <v>0</v>
      </c>
      <c r="AQ33" s="126">
        <f>'Солар Вест'!AQ33+Будник!AQ33</f>
        <v>0</v>
      </c>
      <c r="AR33" s="140">
        <f t="shared" si="53"/>
        <v>0</v>
      </c>
      <c r="AS33" s="123">
        <f>'[5]ПП ВДГ'!AS33+'[5]Корсак Л.Р.'!AS33+'[5]Корсак В.І.'!AS33+[5]Конякіна!AS33</f>
        <v>0</v>
      </c>
      <c r="AT33" s="123">
        <f>'[5]ПП ВДГ'!AT33+'[5]Корсак Л.Р.'!AT33+'[5]Корсак В.І.'!AT33+[5]Конякіна!AT33</f>
        <v>0</v>
      </c>
      <c r="AU33" s="139">
        <f t="shared" si="54"/>
        <v>0</v>
      </c>
      <c r="AV33" s="126">
        <f>'Солар Вест'!AV33+Будник!AV33</f>
        <v>0</v>
      </c>
      <c r="AW33" s="126">
        <f>'Солар Вест'!AW33+Будник!AW33</f>
        <v>0</v>
      </c>
      <c r="AX33" s="140">
        <f t="shared" si="55"/>
        <v>0</v>
      </c>
      <c r="AY33" s="123">
        <f>'[5]ПП ВДГ'!AY33+'[5]Корсак Л.Р.'!AY33+'[5]Корсак В.І.'!AY33+[5]Конякіна!AY33</f>
        <v>0</v>
      </c>
      <c r="AZ33" s="123">
        <f>'[5]ПП ВДГ'!AZ33+'[5]Корсак Л.Р.'!AZ33+'[5]Корсак В.І.'!AZ33+[5]Конякіна!AZ33</f>
        <v>0</v>
      </c>
      <c r="BA33" s="139">
        <f t="shared" si="56"/>
        <v>0</v>
      </c>
      <c r="BB33" s="126">
        <f>'Солар Вест'!BB33+Будник!BB33</f>
        <v>0</v>
      </c>
      <c r="BC33" s="126">
        <f>'Солар Вест'!BC33+Будник!BC33</f>
        <v>0</v>
      </c>
      <c r="BD33" s="140">
        <f t="shared" si="57"/>
        <v>0</v>
      </c>
      <c r="BE33" s="126">
        <f>'Солар Вест'!BE33+Будник!BE33</f>
        <v>0</v>
      </c>
      <c r="BF33" s="126">
        <f>'Солар Вест'!BF33+Будник!BF33</f>
        <v>0</v>
      </c>
      <c r="BG33" s="139">
        <f t="shared" si="58"/>
        <v>0</v>
      </c>
      <c r="BH33" s="126">
        <f>'Солар Вест'!BH33+Будник!BH33</f>
        <v>0</v>
      </c>
      <c r="BI33" s="126">
        <f>'Солар Вест'!BI33+Будник!BI33</f>
        <v>0</v>
      </c>
      <c r="BJ33" s="140">
        <f t="shared" si="59"/>
        <v>0</v>
      </c>
      <c r="BK33" s="123">
        <f>'[5]ПП ВДГ'!BK33+'[5]Корсак Л.Р.'!BK33+'[5]Корсак В.І.'!BK33+[5]Конякіна!BK33</f>
        <v>0</v>
      </c>
      <c r="BL33" s="123">
        <f>'[5]ПП ВДГ'!BL33+'[5]Корсак Л.Р.'!BL33+'[5]Корсак В.І.'!BL33+[5]Конякіна!BL33</f>
        <v>0</v>
      </c>
      <c r="BM33" s="139">
        <f t="shared" si="60"/>
        <v>0</v>
      </c>
      <c r="BN33" s="126">
        <f>'Солар Вест'!BN33+Будник!BN33</f>
        <v>0</v>
      </c>
      <c r="BO33" s="126">
        <f>'Солар Вест'!BO33+Будник!BO33</f>
        <v>0</v>
      </c>
      <c r="BP33" s="140">
        <f t="shared" si="61"/>
        <v>0</v>
      </c>
      <c r="BQ33" s="123">
        <f>'[5]ПП ВДГ'!BQ33+'[5]Корсак Л.Р.'!BQ33+'[5]Корсак В.І.'!BQ33+[5]Конякіна!BQ33</f>
        <v>0</v>
      </c>
      <c r="BR33" s="123">
        <f>'[5]ПП ВДГ'!BR33+'[5]Корсак Л.Р.'!BR33+'[5]Корсак В.І.'!BR33+[5]Конякіна!BR33</f>
        <v>0</v>
      </c>
      <c r="BS33" s="139">
        <f t="shared" si="62"/>
        <v>0</v>
      </c>
      <c r="BT33" s="126">
        <f>'Солар Вест'!BT33+Будник!BT33</f>
        <v>0</v>
      </c>
      <c r="BU33" s="126">
        <f>'Солар Вест'!BU33+Будник!BU33</f>
        <v>0</v>
      </c>
      <c r="BV33" s="140">
        <f t="shared" si="63"/>
        <v>0</v>
      </c>
      <c r="BW33" s="123">
        <f t="shared" si="64"/>
        <v>0</v>
      </c>
      <c r="BX33" s="123">
        <f t="shared" si="64"/>
        <v>0</v>
      </c>
      <c r="BY33" s="139">
        <f t="shared" si="65"/>
        <v>0</v>
      </c>
      <c r="BZ33" s="123">
        <f t="shared" si="66"/>
        <v>0</v>
      </c>
      <c r="CA33" s="123">
        <f t="shared" si="66"/>
        <v>0</v>
      </c>
      <c r="CB33" s="140">
        <f t="shared" si="67"/>
        <v>0</v>
      </c>
    </row>
    <row r="34" spans="1:80" x14ac:dyDescent="0.2">
      <c r="A34" s="121">
        <v>122</v>
      </c>
      <c r="B34" s="141" t="s">
        <v>49</v>
      </c>
      <c r="C34" s="123">
        <f>'[5]ПП ВДГ'!C34+'[5]Корсак Л.Р.'!C34+'[5]Корсак В.І.'!C34+[5]Конякіна!C34</f>
        <v>24030</v>
      </c>
      <c r="D34" s="123">
        <f>'[5]ПП ВДГ'!D34+'[5]Корсак Л.Р.'!D34+'[5]Корсак В.І.'!D34+[5]Конякіна!D34</f>
        <v>19150</v>
      </c>
      <c r="E34" s="131">
        <f t="shared" si="40"/>
        <v>43180</v>
      </c>
      <c r="F34" s="128">
        <f>'Солар Вест'!F34+Будник!F34</f>
        <v>9779</v>
      </c>
      <c r="G34" s="128">
        <f>'Солар Вест'!G34+Будник!G34</f>
        <v>175485</v>
      </c>
      <c r="H34" s="132">
        <f t="shared" si="41"/>
        <v>185264</v>
      </c>
      <c r="I34" s="123">
        <f>'[5]ПП ВДГ'!I34+'[5]Корсак Л.Р.'!I34+'[5]Корсак В.І.'!I34+[5]Конякіна!I34</f>
        <v>24030</v>
      </c>
      <c r="J34" s="123">
        <f>'[5]ПП ВДГ'!J34+'[5]Корсак Л.Р.'!J34+'[5]Корсак В.І.'!J34+[5]Конякіна!J34</f>
        <v>19150</v>
      </c>
      <c r="K34" s="131">
        <f t="shared" si="42"/>
        <v>43180</v>
      </c>
      <c r="L34" s="128">
        <f>'Солар Вест'!L34+Будник!L34</f>
        <v>9779</v>
      </c>
      <c r="M34" s="128">
        <f>'Солар Вест'!M34+Будник!M34</f>
        <v>166771</v>
      </c>
      <c r="N34" s="132">
        <f t="shared" si="43"/>
        <v>176550</v>
      </c>
      <c r="O34" s="123">
        <f>'[5]ПП ВДГ'!O34+'[5]Корсак Л.Р.'!O34+'[5]Корсак В.І.'!O34+[5]Конякіна!O34</f>
        <v>24030</v>
      </c>
      <c r="P34" s="123">
        <f>'[5]ПП ВДГ'!P34+'[5]Корсак Л.Р.'!P34+'[5]Корсак В.І.'!P34+[5]Конякіна!P34</f>
        <v>19150</v>
      </c>
      <c r="Q34" s="131">
        <f t="shared" si="44"/>
        <v>43180</v>
      </c>
      <c r="R34" s="128">
        <f>'Солар Вест'!R34+Будник!R34</f>
        <v>9779</v>
      </c>
      <c r="S34" s="128">
        <f>'Солар Вест'!S34+Будник!S34</f>
        <v>181721</v>
      </c>
      <c r="T34" s="132">
        <f t="shared" si="45"/>
        <v>191500</v>
      </c>
      <c r="U34" s="123">
        <f>'[5]ПП ВДГ'!U34+'[5]Корсак Л.Р.'!U34+'[5]Корсак В.І.'!U34+[5]Конякіна!U34</f>
        <v>23000</v>
      </c>
      <c r="V34" s="123">
        <f>'[5]ПП ВДГ'!V34+'[5]Корсак Л.Р.'!V34+'[5]Корсак В.І.'!V34+[5]Конякіна!V34</f>
        <v>22000</v>
      </c>
      <c r="W34" s="131">
        <f t="shared" si="46"/>
        <v>45000</v>
      </c>
      <c r="X34" s="128">
        <f>'Солар Вест'!X34+Будник!X34</f>
        <v>9779</v>
      </c>
      <c r="Y34" s="128">
        <f>'Солар Вест'!Y34+Будник!Y34</f>
        <v>213395</v>
      </c>
      <c r="Z34" s="132">
        <f t="shared" si="47"/>
        <v>223174</v>
      </c>
      <c r="AA34" s="123">
        <f>'[5]ПП ВДГ'!AA34+'[5]Корсак Л.Р.'!AA34+'[5]Корсак В.І.'!AA34+[5]Конякіна!AA34</f>
        <v>22030</v>
      </c>
      <c r="AB34" s="123">
        <f>'[5]ПП ВДГ'!AB34+'[5]Корсак Л.Р.'!AB34+'[5]Корсак В.І.'!AB34+[5]Конякіна!AB34</f>
        <v>17150</v>
      </c>
      <c r="AC34" s="131">
        <f t="shared" si="48"/>
        <v>39180</v>
      </c>
      <c r="AD34" s="128">
        <f>'Солар Вест'!AD34+Будник!AD34</f>
        <v>10606.03</v>
      </c>
      <c r="AE34" s="128">
        <f>'Солар Вест'!AE34+Будник!AE34</f>
        <v>265005</v>
      </c>
      <c r="AF34" s="132">
        <f t="shared" si="49"/>
        <v>275611.03000000003</v>
      </c>
      <c r="AG34" s="123">
        <f>'[5]ПП ВДГ'!AG34+'[5]Корсак Л.Р.'!AG34+'[5]Корсак В.І.'!AG34+[5]Конякіна!AG34</f>
        <v>22085</v>
      </c>
      <c r="AH34" s="123">
        <f>'[5]ПП ВДГ'!AH34+'[5]Корсак Л.Р.'!AH34+'[5]Корсак В.І.'!AH34+[5]Конякіна!AH34</f>
        <v>17150</v>
      </c>
      <c r="AI34" s="131">
        <f t="shared" si="50"/>
        <v>39235</v>
      </c>
      <c r="AJ34" s="128">
        <f>'Солар Вест'!AJ34+Будник!AJ34</f>
        <v>15952.33</v>
      </c>
      <c r="AK34" s="128">
        <f>'Солар Вест'!AK34+Будник!AK34</f>
        <v>499084</v>
      </c>
      <c r="AL34" s="132">
        <f t="shared" si="51"/>
        <v>515036.33</v>
      </c>
      <c r="AM34" s="123">
        <f>'[5]ПП ВДГ'!AM34+'[5]Корсак Л.Р.'!AM34+'[5]Корсак В.І.'!AM34+[5]Конякіна!AM34</f>
        <v>25084</v>
      </c>
      <c r="AN34" s="123">
        <f>'[5]ПП ВДГ'!AN34+'[5]Корсак Л.Р.'!AN34+'[5]Корсак В.І.'!AN34+[5]Конякіна!AN34</f>
        <v>11150</v>
      </c>
      <c r="AO34" s="131">
        <f t="shared" si="52"/>
        <v>36234</v>
      </c>
      <c r="AP34" s="128">
        <f>'Солар Вест'!AP34+Будник!AP34</f>
        <v>21956.91</v>
      </c>
      <c r="AQ34" s="128">
        <f>'Солар Вест'!AQ34+Будник!AQ34</f>
        <v>379229</v>
      </c>
      <c r="AR34" s="132">
        <f t="shared" si="53"/>
        <v>401185.91</v>
      </c>
      <c r="AS34" s="123">
        <f>'[5]ПП ВДГ'!AS34+'[5]Корсак Л.Р.'!AS34+'[5]Корсак В.І.'!AS34+[5]Конякіна!AS34</f>
        <v>25130</v>
      </c>
      <c r="AT34" s="123">
        <f>'[5]ПП ВДГ'!AT34+'[5]Корсак Л.Р.'!AT34+'[5]Корсак В.І.'!AT34+[5]Конякіна!AT34</f>
        <v>20150</v>
      </c>
      <c r="AU34" s="131">
        <f t="shared" si="54"/>
        <v>45280</v>
      </c>
      <c r="AV34" s="128">
        <f>'Солар Вест'!AV34+Будник!AV34</f>
        <v>32841.370000000003</v>
      </c>
      <c r="AW34" s="128">
        <f>'Солар Вест'!AW34+Будник!AW34</f>
        <v>363605</v>
      </c>
      <c r="AX34" s="132">
        <f t="shared" si="55"/>
        <v>396446.37</v>
      </c>
      <c r="AY34" s="123">
        <f>'[5]ПП ВДГ'!AY34+'[5]Корсак Л.Р.'!AY34+'[5]Корсак В.І.'!AY34+[5]Конякіна!AY34</f>
        <v>22030</v>
      </c>
      <c r="AZ34" s="123">
        <f>'[5]ПП ВДГ'!AZ34+'[5]Корсак Л.Р.'!AZ34+'[5]Корсак В.І.'!AZ34+[5]Конякіна!AZ34</f>
        <v>17150</v>
      </c>
      <c r="BA34" s="131">
        <f t="shared" si="56"/>
        <v>39180</v>
      </c>
      <c r="BB34" s="128">
        <f>'Солар Вест'!BB34+Будник!BB34</f>
        <v>32689.25</v>
      </c>
      <c r="BC34" s="128">
        <f>'Солар Вест'!BC34+Будник!BC34</f>
        <v>155028</v>
      </c>
      <c r="BD34" s="132">
        <f t="shared" si="57"/>
        <v>187717.25</v>
      </c>
      <c r="BE34" s="128">
        <f>'Солар Вест'!BE34+Будник!BE34</f>
        <v>18514.060000000001</v>
      </c>
      <c r="BF34" s="128">
        <f>'Солар Вест'!BF34+Будник!BF34</f>
        <v>226338</v>
      </c>
      <c r="BG34" s="131">
        <f t="shared" si="58"/>
        <v>244852.06</v>
      </c>
      <c r="BH34" s="128">
        <f>'Солар Вест'!BH34+Будник!BH34</f>
        <v>0</v>
      </c>
      <c r="BI34" s="128">
        <f>'Солар Вест'!BI34+Будник!BI34</f>
        <v>0</v>
      </c>
      <c r="BJ34" s="132">
        <f t="shared" si="59"/>
        <v>0</v>
      </c>
      <c r="BK34" s="123">
        <f>'[5]ПП ВДГ'!BK34+'[5]Корсак Л.Р.'!BK34+'[5]Корсак В.І.'!BK34+[5]Конякіна!BK34</f>
        <v>24120</v>
      </c>
      <c r="BL34" s="123">
        <f>'[5]ПП ВДГ'!BL34+'[5]Корсак Л.Р.'!BL34+'[5]Корсак В.І.'!BL34+[5]Конякіна!BL34</f>
        <v>19150</v>
      </c>
      <c r="BM34" s="131">
        <f t="shared" si="60"/>
        <v>43270</v>
      </c>
      <c r="BN34" s="128">
        <f>'Солар Вест'!BN34+Будник!BN34</f>
        <v>0</v>
      </c>
      <c r="BO34" s="128">
        <f>'Солар Вест'!BO34+Будник!BO34</f>
        <v>0</v>
      </c>
      <c r="BP34" s="132">
        <f t="shared" si="61"/>
        <v>0</v>
      </c>
      <c r="BQ34" s="123">
        <f>'[5]ПП ВДГ'!BQ34+'[5]Корсак Л.Р.'!BQ34+'[5]Корсак В.І.'!BQ34+[5]Конякіна!BQ34</f>
        <v>27127</v>
      </c>
      <c r="BR34" s="123">
        <f>'[5]ПП ВДГ'!BR34+'[5]Корсак Л.Р.'!BR34+'[5]Корсак В.І.'!BR34+[5]Конякіна!BR34</f>
        <v>20450</v>
      </c>
      <c r="BS34" s="131">
        <f t="shared" si="62"/>
        <v>47577</v>
      </c>
      <c r="BT34" s="128">
        <f>'Солар Вест'!BT34+Будник!BT34</f>
        <v>0</v>
      </c>
      <c r="BU34" s="128">
        <f>'Солар Вест'!BU34+Будник!BU34</f>
        <v>0</v>
      </c>
      <c r="BV34" s="132">
        <f t="shared" si="63"/>
        <v>0</v>
      </c>
      <c r="BW34" s="123">
        <f t="shared" si="64"/>
        <v>281210.06</v>
      </c>
      <c r="BX34" s="123">
        <f t="shared" si="64"/>
        <v>428138</v>
      </c>
      <c r="BY34" s="131">
        <f t="shared" si="65"/>
        <v>709348.06</v>
      </c>
      <c r="BZ34" s="123">
        <f t="shared" si="66"/>
        <v>153161.89000000001</v>
      </c>
      <c r="CA34" s="123">
        <f t="shared" si="66"/>
        <v>2399323</v>
      </c>
      <c r="CB34" s="132">
        <f t="shared" si="67"/>
        <v>2552484.89</v>
      </c>
    </row>
    <row r="35" spans="1:80" x14ac:dyDescent="0.2">
      <c r="A35" s="142" t="s">
        <v>94</v>
      </c>
      <c r="B35" s="141" t="s">
        <v>50</v>
      </c>
      <c r="C35" s="123">
        <f>'[5]ПП ВДГ'!C35+'[5]Корсак Л.Р.'!C35+'[5]Корсак В.І.'!C35+[5]Конякіна!C35</f>
        <v>17550</v>
      </c>
      <c r="D35" s="123">
        <f>'[5]ПП ВДГ'!D35+'[5]Корсак Л.Р.'!D35+'[5]Корсак В.І.'!D35+[5]Конякіна!D35</f>
        <v>0</v>
      </c>
      <c r="E35" s="131">
        <f t="shared" si="40"/>
        <v>17550</v>
      </c>
      <c r="F35" s="128">
        <f>'Солар Вест'!F35+Будник!F35</f>
        <v>5560</v>
      </c>
      <c r="G35" s="128">
        <f>'Солар Вест'!G35+Будник!G35</f>
        <v>0</v>
      </c>
      <c r="H35" s="131">
        <f t="shared" si="41"/>
        <v>5560</v>
      </c>
      <c r="I35" s="123">
        <f>'[5]ПП ВДГ'!I35+'[5]Корсак Л.Р.'!I35+'[5]Корсак В.І.'!I35+[5]Конякіна!I35</f>
        <v>17550</v>
      </c>
      <c r="J35" s="123">
        <f>'[5]ПП ВДГ'!J35+'[5]Корсак Л.Р.'!J35+'[5]Корсак В.І.'!J35+[5]Конякіна!J35</f>
        <v>0</v>
      </c>
      <c r="K35" s="131">
        <f t="shared" si="42"/>
        <v>17550</v>
      </c>
      <c r="L35" s="128">
        <f>'Солар Вест'!L35+Будник!L35</f>
        <v>5315</v>
      </c>
      <c r="M35" s="128">
        <f>'Солар Вест'!M35+Будник!M35</f>
        <v>0</v>
      </c>
      <c r="N35" s="131">
        <f t="shared" si="43"/>
        <v>5315</v>
      </c>
      <c r="O35" s="123">
        <f>'[5]ПП ВДГ'!O35+'[5]Корсак Л.Р.'!O35+'[5]Корсак В.І.'!O35+[5]Конякіна!O35</f>
        <v>17550</v>
      </c>
      <c r="P35" s="123">
        <f>'[5]ПП ВДГ'!P35+'[5]Корсак Л.Р.'!P35+'[5]Корсак В.І.'!P35+[5]Конякіна!P35</f>
        <v>0</v>
      </c>
      <c r="Q35" s="131">
        <f t="shared" si="44"/>
        <v>17550</v>
      </c>
      <c r="R35" s="128">
        <f>'Солар Вест'!R35+Будник!R35</f>
        <v>6000</v>
      </c>
      <c r="S35" s="128">
        <f>'Солар Вест'!S35+Будник!S35</f>
        <v>0</v>
      </c>
      <c r="T35" s="131">
        <f t="shared" si="45"/>
        <v>6000</v>
      </c>
      <c r="U35" s="123">
        <f>'[5]ПП ВДГ'!U35+'[5]Корсак Л.Р.'!U35+'[5]Корсак В.І.'!U35+[5]Конякіна!U35</f>
        <v>12300</v>
      </c>
      <c r="V35" s="123">
        <f>'[5]ПП ВДГ'!V35+'[5]Корсак Л.Р.'!V35+'[5]Корсак В.І.'!V35+[5]Конякіна!V35</f>
        <v>0</v>
      </c>
      <c r="W35" s="131">
        <f t="shared" si="46"/>
        <v>12300</v>
      </c>
      <c r="X35" s="128">
        <f>'Солар Вест'!X35+Будник!X35</f>
        <v>5615</v>
      </c>
      <c r="Y35" s="128">
        <f>'Солар Вест'!Y35+Будник!Y35</f>
        <v>0</v>
      </c>
      <c r="Z35" s="131">
        <f t="shared" si="47"/>
        <v>5615</v>
      </c>
      <c r="AA35" s="123">
        <f>'[5]ПП ВДГ'!AA35+'[5]Корсак Л.Р.'!AA35+'[5]Корсак В.І.'!AA35+[5]Конякіна!AA35</f>
        <v>16550</v>
      </c>
      <c r="AB35" s="123">
        <f>'[5]ПП ВДГ'!AB35+'[5]Корсак Л.Р.'!AB35+'[5]Корсак В.І.'!AB35+[5]Конякіна!AB35</f>
        <v>0</v>
      </c>
      <c r="AC35" s="131">
        <f t="shared" si="48"/>
        <v>16550</v>
      </c>
      <c r="AD35" s="128">
        <f>'Солар Вест'!AD35+Будник!AD35</f>
        <v>6413.82</v>
      </c>
      <c r="AE35" s="128">
        <f>'Солар Вест'!AE35+Будник!AE35</f>
        <v>0</v>
      </c>
      <c r="AF35" s="131">
        <f t="shared" si="49"/>
        <v>6413.82</v>
      </c>
      <c r="AG35" s="123">
        <f>'[5]ПП ВДГ'!AG35+'[5]Корсак Л.Р.'!AG35+'[5]Корсак В.І.'!AG35+[5]Конякіна!AG35</f>
        <v>13090</v>
      </c>
      <c r="AH35" s="123">
        <f>'[5]ПП ВДГ'!AH35+'[5]Корсак Л.Р.'!AH35+'[5]Корсак В.І.'!AH35+[5]Конякіна!AH35</f>
        <v>0</v>
      </c>
      <c r="AI35" s="131">
        <f t="shared" si="50"/>
        <v>13090</v>
      </c>
      <c r="AJ35" s="128">
        <f>'Солар Вест'!AJ35+Будник!AJ35</f>
        <v>8902</v>
      </c>
      <c r="AK35" s="128">
        <f>'Солар Вест'!AK35+Будник!AK35</f>
        <v>0</v>
      </c>
      <c r="AL35" s="131">
        <f t="shared" si="51"/>
        <v>8902</v>
      </c>
      <c r="AM35" s="123">
        <f>'[5]ПП ВДГ'!AM35+'[5]Корсак Л.Р.'!AM35+'[5]Корсак В.І.'!AM35+[5]Конякіна!AM35</f>
        <v>11500</v>
      </c>
      <c r="AN35" s="123">
        <f>'[5]ПП ВДГ'!AN35+'[5]Корсак Л.Р.'!AN35+'[5]Корсак В.І.'!AN35+[5]Конякіна!AN35</f>
        <v>0</v>
      </c>
      <c r="AO35" s="131">
        <f t="shared" si="52"/>
        <v>11500</v>
      </c>
      <c r="AP35" s="128">
        <f>'Солар Вест'!AP35+Будник!AP35</f>
        <v>11397.57</v>
      </c>
      <c r="AQ35" s="128">
        <f>'Солар Вест'!AQ35+Будник!AQ35</f>
        <v>0</v>
      </c>
      <c r="AR35" s="131">
        <f t="shared" si="53"/>
        <v>11397.57</v>
      </c>
      <c r="AS35" s="123">
        <f>'[5]ПП ВДГ'!AS35+'[5]Корсак Л.Р.'!AS35+'[5]Корсак В.І.'!AS35+[5]Конякіна!AS35</f>
        <v>12610</v>
      </c>
      <c r="AT35" s="123">
        <f>'[5]ПП ВДГ'!AT35+'[5]Корсак Л.Р.'!AT35+'[5]Корсак В.І.'!AT35+[5]Конякіна!AT35</f>
        <v>0</v>
      </c>
      <c r="AU35" s="131">
        <f t="shared" si="54"/>
        <v>12610</v>
      </c>
      <c r="AV35" s="128">
        <f>'Солар Вест'!AV35+Будник!AV35</f>
        <v>17570.240000000002</v>
      </c>
      <c r="AW35" s="128">
        <f>'Солар Вест'!AW35+Будник!AW35</f>
        <v>0</v>
      </c>
      <c r="AX35" s="131">
        <f t="shared" si="55"/>
        <v>17570.240000000002</v>
      </c>
      <c r="AY35" s="123">
        <f>'[5]ПП ВДГ'!AY35+'[5]Корсак Л.Р.'!AY35+'[5]Корсак В.І.'!AY35+[5]Конякіна!AY35</f>
        <v>16550</v>
      </c>
      <c r="AZ35" s="123">
        <f>'[5]ПП ВДГ'!AZ35+'[5]Корсак Л.Р.'!AZ35+'[5]Корсак В.І.'!AZ35+[5]Конякіна!AZ35</f>
        <v>0</v>
      </c>
      <c r="BA35" s="131">
        <f t="shared" si="56"/>
        <v>16550</v>
      </c>
      <c r="BB35" s="128">
        <f>'Солар Вест'!BB35+Будник!BB35</f>
        <v>17744.25</v>
      </c>
      <c r="BC35" s="128">
        <f>'Солар Вест'!BC35+Будник!BC35</f>
        <v>0</v>
      </c>
      <c r="BD35" s="131">
        <f t="shared" si="57"/>
        <v>17744.25</v>
      </c>
      <c r="BE35" s="128">
        <f>'Солар Вест'!BE35+Будник!BE35</f>
        <v>5210.1000000000004</v>
      </c>
      <c r="BF35" s="128">
        <f>'Солар Вест'!BF35+Будник!BF35</f>
        <v>0</v>
      </c>
      <c r="BG35" s="131">
        <f t="shared" si="58"/>
        <v>5210.1000000000004</v>
      </c>
      <c r="BH35" s="128">
        <f>'Солар Вест'!BH35+Будник!BH35</f>
        <v>0</v>
      </c>
      <c r="BI35" s="128">
        <f>'Солар Вест'!BI35+Будник!BI35</f>
        <v>0</v>
      </c>
      <c r="BJ35" s="131">
        <f t="shared" si="59"/>
        <v>0</v>
      </c>
      <c r="BK35" s="123">
        <f>'[5]ПП ВДГ'!BK35+'[5]Корсак Л.Р.'!BK35+'[5]Корсак В.І.'!BK35+[5]Конякіна!BK35</f>
        <v>19630</v>
      </c>
      <c r="BL35" s="123">
        <f>'[5]ПП ВДГ'!BL35+'[5]Корсак Л.Р.'!BL35+'[5]Корсак В.І.'!BL35+[5]Конякіна!BL35</f>
        <v>0</v>
      </c>
      <c r="BM35" s="131">
        <f t="shared" si="60"/>
        <v>19630</v>
      </c>
      <c r="BN35" s="128">
        <f>'Солар Вест'!BN35+Будник!BN35</f>
        <v>0</v>
      </c>
      <c r="BO35" s="128">
        <f>'Солар Вест'!BO35+Будник!BO35</f>
        <v>0</v>
      </c>
      <c r="BP35" s="131">
        <f t="shared" si="61"/>
        <v>0</v>
      </c>
      <c r="BQ35" s="123">
        <f>'[5]ПП ВДГ'!BQ35+'[5]Корсак Л.Р.'!BQ35+'[5]Корсак В.І.'!BQ35+[5]Конякіна!BQ35</f>
        <v>17640</v>
      </c>
      <c r="BR35" s="123">
        <f>'[5]ПП ВДГ'!BR35+'[5]Корсак Л.Р.'!BR35+'[5]Корсак В.І.'!BR35+[5]Конякіна!BR35</f>
        <v>0</v>
      </c>
      <c r="BS35" s="131">
        <f t="shared" si="62"/>
        <v>17640</v>
      </c>
      <c r="BT35" s="128">
        <f>'Солар Вест'!BT35+Будник!BT35</f>
        <v>0</v>
      </c>
      <c r="BU35" s="128">
        <f>'Солар Вест'!BU35+Будник!BU35</f>
        <v>0</v>
      </c>
      <c r="BV35" s="131">
        <f t="shared" si="63"/>
        <v>0</v>
      </c>
      <c r="BW35" s="123">
        <f t="shared" si="64"/>
        <v>177730.1</v>
      </c>
      <c r="BX35" s="123">
        <f t="shared" si="64"/>
        <v>0</v>
      </c>
      <c r="BY35" s="131">
        <f t="shared" si="65"/>
        <v>177730.1</v>
      </c>
      <c r="BZ35" s="123">
        <f t="shared" si="66"/>
        <v>84517.88</v>
      </c>
      <c r="CA35" s="123">
        <f t="shared" si="66"/>
        <v>0</v>
      </c>
      <c r="CB35" s="132">
        <f t="shared" si="67"/>
        <v>84517.88</v>
      </c>
    </row>
    <row r="36" spans="1:80" x14ac:dyDescent="0.2">
      <c r="A36" s="121">
        <v>123</v>
      </c>
      <c r="B36" s="130" t="s">
        <v>51</v>
      </c>
      <c r="C36" s="123">
        <f>'[5]ПП ВДГ'!C36+'[5]Корсак Л.Р.'!C36+'[5]Корсак В.І.'!C36+[5]Конякіна!C36</f>
        <v>0</v>
      </c>
      <c r="D36" s="123">
        <f>'[5]ПП ВДГ'!D36+'[5]Корсак Л.Р.'!D36+'[5]Корсак В.І.'!D36+[5]Конякіна!D36</f>
        <v>0</v>
      </c>
      <c r="E36" s="131">
        <f t="shared" si="40"/>
        <v>0</v>
      </c>
      <c r="F36" s="128">
        <f>'Солар Вест'!F36+Будник!F36</f>
        <v>0</v>
      </c>
      <c r="G36" s="128">
        <f>'Солар Вест'!G36+Будник!G36</f>
        <v>0</v>
      </c>
      <c r="H36" s="132">
        <f t="shared" si="41"/>
        <v>0</v>
      </c>
      <c r="I36" s="123">
        <f>'[5]ПП ВДГ'!I36+'[5]Корсак Л.Р.'!I36+'[5]Корсак В.І.'!I36+[5]Конякіна!I36</f>
        <v>0</v>
      </c>
      <c r="J36" s="123">
        <f>'[5]ПП ВДГ'!J36+'[5]Корсак Л.Р.'!J36+'[5]Корсак В.І.'!J36+[5]Конякіна!J36</f>
        <v>0</v>
      </c>
      <c r="K36" s="131">
        <f t="shared" si="42"/>
        <v>0</v>
      </c>
      <c r="L36" s="128">
        <f>'Солар Вест'!L36+Будник!L36</f>
        <v>0</v>
      </c>
      <c r="M36" s="128">
        <f>'Солар Вест'!M36+Будник!M36</f>
        <v>0</v>
      </c>
      <c r="N36" s="132">
        <f t="shared" si="43"/>
        <v>0</v>
      </c>
      <c r="O36" s="123">
        <f>'[5]ПП ВДГ'!O36+'[5]Корсак Л.Р.'!O36+'[5]Корсак В.І.'!O36+[5]Конякіна!O36</f>
        <v>0</v>
      </c>
      <c r="P36" s="123">
        <f>'[5]ПП ВДГ'!P36+'[5]Корсак Л.Р.'!P36+'[5]Корсак В.І.'!P36+[5]Конякіна!P36</f>
        <v>0</v>
      </c>
      <c r="Q36" s="131">
        <f t="shared" si="44"/>
        <v>0</v>
      </c>
      <c r="R36" s="128">
        <f>'Солар Вест'!R36+Будник!R36</f>
        <v>0</v>
      </c>
      <c r="S36" s="128">
        <f>'Солар Вест'!S36+Будник!S36</f>
        <v>0</v>
      </c>
      <c r="T36" s="132">
        <f t="shared" si="45"/>
        <v>0</v>
      </c>
      <c r="U36" s="123">
        <f>'[5]ПП ВДГ'!U36+'[5]Корсак Л.Р.'!U36+'[5]Корсак В.І.'!U36+[5]Конякіна!U36</f>
        <v>0</v>
      </c>
      <c r="V36" s="123">
        <f>'[5]ПП ВДГ'!V36+'[5]Корсак Л.Р.'!V36+'[5]Корсак В.І.'!V36+[5]Конякіна!V36</f>
        <v>0</v>
      </c>
      <c r="W36" s="131">
        <f t="shared" si="46"/>
        <v>0</v>
      </c>
      <c r="X36" s="128">
        <f>'Солар Вест'!X36+Будник!X36</f>
        <v>0</v>
      </c>
      <c r="Y36" s="128">
        <f>'Солар Вест'!Y36+Будник!Y36</f>
        <v>0</v>
      </c>
      <c r="Z36" s="132">
        <f t="shared" si="47"/>
        <v>0</v>
      </c>
      <c r="AA36" s="123">
        <f>'[5]ПП ВДГ'!AA36+'[5]Корсак Л.Р.'!AA36+'[5]Корсак В.І.'!AA36+[5]Конякіна!AA36</f>
        <v>0</v>
      </c>
      <c r="AB36" s="123">
        <f>'[5]ПП ВДГ'!AB36+'[5]Корсак Л.Р.'!AB36+'[5]Корсак В.І.'!AB36+[5]Конякіна!AB36</f>
        <v>0</v>
      </c>
      <c r="AC36" s="131">
        <f t="shared" si="48"/>
        <v>0</v>
      </c>
      <c r="AD36" s="128">
        <f>'Солар Вест'!AD36+Будник!AD36</f>
        <v>0</v>
      </c>
      <c r="AE36" s="128">
        <f>'Солар Вест'!AE36+Будник!AE36</f>
        <v>0</v>
      </c>
      <c r="AF36" s="132">
        <f t="shared" si="49"/>
        <v>0</v>
      </c>
      <c r="AG36" s="123">
        <f>'[5]ПП ВДГ'!AG36+'[5]Корсак Л.Р.'!AG36+'[5]Корсак В.І.'!AG36+[5]Конякіна!AG36</f>
        <v>0</v>
      </c>
      <c r="AH36" s="123">
        <f>'[5]ПП ВДГ'!AH36+'[5]Корсак Л.Р.'!AH36+'[5]Корсак В.І.'!AH36+[5]Конякіна!AH36</f>
        <v>0</v>
      </c>
      <c r="AI36" s="131">
        <f t="shared" si="50"/>
        <v>0</v>
      </c>
      <c r="AJ36" s="128">
        <f>'Солар Вест'!AJ36+Будник!AJ36</f>
        <v>6915.6</v>
      </c>
      <c r="AK36" s="128">
        <f>'Солар Вест'!AK36+Будник!AK36</f>
        <v>0</v>
      </c>
      <c r="AL36" s="132">
        <f t="shared" si="51"/>
        <v>6915.6</v>
      </c>
      <c r="AM36" s="123">
        <f>'[5]ПП ВДГ'!AM36+'[5]Корсак Л.Р.'!AM36+'[5]Корсак В.І.'!AM36+[5]Конякіна!AM36</f>
        <v>0</v>
      </c>
      <c r="AN36" s="123">
        <f>'[5]ПП ВДГ'!AN36+'[5]Корсак Л.Р.'!AN36+'[5]Корсак В.І.'!AN36+[5]Конякіна!AN36</f>
        <v>0</v>
      </c>
      <c r="AO36" s="131">
        <f t="shared" si="52"/>
        <v>0</v>
      </c>
      <c r="AP36" s="128">
        <f>'Солар Вест'!AP36+Будник!AP36</f>
        <v>0</v>
      </c>
      <c r="AQ36" s="128">
        <f>'Солар Вест'!AQ36+Будник!AQ36</f>
        <v>0</v>
      </c>
      <c r="AR36" s="132">
        <f t="shared" si="53"/>
        <v>0</v>
      </c>
      <c r="AS36" s="123">
        <f>'[5]ПП ВДГ'!AS36+'[5]Корсак Л.Р.'!AS36+'[5]Корсак В.І.'!AS36+[5]Конякіна!AS36</f>
        <v>0</v>
      </c>
      <c r="AT36" s="123">
        <f>'[5]ПП ВДГ'!AT36+'[5]Корсак Л.Р.'!AT36+'[5]Корсак В.І.'!AT36+[5]Конякіна!AT36</f>
        <v>0</v>
      </c>
      <c r="AU36" s="131">
        <f t="shared" si="54"/>
        <v>0</v>
      </c>
      <c r="AV36" s="128">
        <f>'Солар Вест'!AV36+Будник!AV36</f>
        <v>0</v>
      </c>
      <c r="AW36" s="128">
        <f>'Солар Вест'!AW36+Будник!AW36</f>
        <v>0</v>
      </c>
      <c r="AX36" s="132">
        <f t="shared" si="55"/>
        <v>0</v>
      </c>
      <c r="AY36" s="123">
        <f>'[5]ПП ВДГ'!AY36+'[5]Корсак Л.Р.'!AY36+'[5]Корсак В.І.'!AY36+[5]Конякіна!AY36</f>
        <v>0</v>
      </c>
      <c r="AZ36" s="123">
        <f>'[5]ПП ВДГ'!AZ36+'[5]Корсак Л.Р.'!AZ36+'[5]Корсак В.І.'!AZ36+[5]Конякіна!AZ36</f>
        <v>0</v>
      </c>
      <c r="BA36" s="131">
        <f t="shared" si="56"/>
        <v>0</v>
      </c>
      <c r="BB36" s="128">
        <f>'Солар Вест'!BB36+Будник!BB36</f>
        <v>13831.2</v>
      </c>
      <c r="BC36" s="128">
        <f>'Солар Вест'!BC36+Будник!BC36</f>
        <v>0</v>
      </c>
      <c r="BD36" s="132">
        <f t="shared" si="57"/>
        <v>13831.2</v>
      </c>
      <c r="BE36" s="128">
        <f>'Солар Вест'!BE36+Будник!BE36</f>
        <v>0</v>
      </c>
      <c r="BF36" s="128">
        <f>'Солар Вест'!BF36+Будник!BF36</f>
        <v>0</v>
      </c>
      <c r="BG36" s="131">
        <f t="shared" si="58"/>
        <v>0</v>
      </c>
      <c r="BH36" s="128">
        <f>'Солар Вест'!BH36+Будник!BH36</f>
        <v>0</v>
      </c>
      <c r="BI36" s="128">
        <f>'Солар Вест'!BI36+Будник!BI36</f>
        <v>0</v>
      </c>
      <c r="BJ36" s="132">
        <f t="shared" si="59"/>
        <v>0</v>
      </c>
      <c r="BK36" s="123">
        <f>'[5]ПП ВДГ'!BK36+'[5]Корсак Л.Р.'!BK36+'[5]Корсак В.І.'!BK36+[5]Конякіна!BK36</f>
        <v>0</v>
      </c>
      <c r="BL36" s="123">
        <f>'[5]ПП ВДГ'!BL36+'[5]Корсак Л.Р.'!BL36+'[5]Корсак В.І.'!BL36+[5]Конякіна!BL36</f>
        <v>0</v>
      </c>
      <c r="BM36" s="131">
        <f t="shared" si="60"/>
        <v>0</v>
      </c>
      <c r="BN36" s="128">
        <f>'Солар Вест'!BN36+Будник!BN36</f>
        <v>0</v>
      </c>
      <c r="BO36" s="128">
        <f>'Солар Вест'!BO36+Будник!BO36</f>
        <v>0</v>
      </c>
      <c r="BP36" s="132">
        <f t="shared" si="61"/>
        <v>0</v>
      </c>
      <c r="BQ36" s="123">
        <f>'[5]ПП ВДГ'!BQ36+'[5]Корсак Л.Р.'!BQ36+'[5]Корсак В.І.'!BQ36+[5]Конякіна!BQ36</f>
        <v>0</v>
      </c>
      <c r="BR36" s="123">
        <f>'[5]ПП ВДГ'!BR36+'[5]Корсак Л.Р.'!BR36+'[5]Корсак В.І.'!BR36+[5]Конякіна!BR36</f>
        <v>0</v>
      </c>
      <c r="BS36" s="131">
        <f t="shared" si="62"/>
        <v>0</v>
      </c>
      <c r="BT36" s="128">
        <f>'Солар Вест'!BT36+Будник!BT36</f>
        <v>0</v>
      </c>
      <c r="BU36" s="128">
        <f>'Солар Вест'!BU36+Будник!BU36</f>
        <v>0</v>
      </c>
      <c r="BV36" s="132">
        <f t="shared" si="63"/>
        <v>0</v>
      </c>
      <c r="BW36" s="123">
        <f t="shared" si="64"/>
        <v>0</v>
      </c>
      <c r="BX36" s="123">
        <f t="shared" si="64"/>
        <v>0</v>
      </c>
      <c r="BY36" s="131">
        <f t="shared" si="65"/>
        <v>0</v>
      </c>
      <c r="BZ36" s="123">
        <f t="shared" si="66"/>
        <v>20746.800000000003</v>
      </c>
      <c r="CA36" s="123">
        <f t="shared" si="66"/>
        <v>0</v>
      </c>
      <c r="CB36" s="132">
        <f t="shared" si="67"/>
        <v>20746.800000000003</v>
      </c>
    </row>
    <row r="37" spans="1:80" x14ac:dyDescent="0.2">
      <c r="A37" s="121"/>
      <c r="B37" s="138" t="s">
        <v>52</v>
      </c>
      <c r="C37" s="123">
        <f>'[5]ПП ВДГ'!C37+'[5]Корсак Л.Р.'!C37+'[5]Корсак В.І.'!C37+[5]Конякіна!C37</f>
        <v>0</v>
      </c>
      <c r="D37" s="123">
        <f>'[5]ПП ВДГ'!D37+'[5]Корсак Л.Р.'!D37+'[5]Корсак В.І.'!D37+[5]Конякіна!D37</f>
        <v>0</v>
      </c>
      <c r="E37" s="139">
        <f t="shared" si="40"/>
        <v>0</v>
      </c>
      <c r="F37" s="126">
        <f>'Солар Вест'!F37+Будник!F37</f>
        <v>0</v>
      </c>
      <c r="G37" s="126">
        <f>'Солар Вест'!G37+Будник!G37</f>
        <v>0</v>
      </c>
      <c r="H37" s="140">
        <f t="shared" si="41"/>
        <v>0</v>
      </c>
      <c r="I37" s="123">
        <f>'[5]ПП ВДГ'!I37+'[5]Корсак Л.Р.'!I37+'[5]Корсак В.І.'!I37+[5]Конякіна!I37</f>
        <v>0</v>
      </c>
      <c r="J37" s="123">
        <f>'[5]ПП ВДГ'!J37+'[5]Корсак Л.Р.'!J37+'[5]Корсак В.І.'!J37+[5]Конякіна!J37</f>
        <v>0</v>
      </c>
      <c r="K37" s="139">
        <f t="shared" si="42"/>
        <v>0</v>
      </c>
      <c r="L37" s="126">
        <f>'Солар Вест'!L37+Будник!L37</f>
        <v>0</v>
      </c>
      <c r="M37" s="126">
        <f>'Солар Вест'!M37+Будник!M37</f>
        <v>0</v>
      </c>
      <c r="N37" s="140">
        <f t="shared" si="43"/>
        <v>0</v>
      </c>
      <c r="O37" s="123">
        <f>'[5]ПП ВДГ'!O37+'[5]Корсак Л.Р.'!O37+'[5]Корсак В.І.'!O37+[5]Конякіна!O37</f>
        <v>0</v>
      </c>
      <c r="P37" s="123">
        <f>'[5]ПП ВДГ'!P37+'[5]Корсак Л.Р.'!P37+'[5]Корсак В.І.'!P37+[5]Конякіна!P37</f>
        <v>0</v>
      </c>
      <c r="Q37" s="139">
        <f t="shared" si="44"/>
        <v>0</v>
      </c>
      <c r="R37" s="126">
        <f>'Солар Вест'!R37+Будник!R37</f>
        <v>0</v>
      </c>
      <c r="S37" s="126">
        <f>'Солар Вест'!S37+Будник!S37</f>
        <v>0</v>
      </c>
      <c r="T37" s="140">
        <f t="shared" si="45"/>
        <v>0</v>
      </c>
      <c r="U37" s="123">
        <f>'[5]ПП ВДГ'!U37+'[5]Корсак Л.Р.'!U37+'[5]Корсак В.І.'!U37+[5]Конякіна!U37</f>
        <v>0</v>
      </c>
      <c r="V37" s="123">
        <f>'[5]ПП ВДГ'!V37+'[5]Корсак Л.Р.'!V37+'[5]Корсак В.І.'!V37+[5]Конякіна!V37</f>
        <v>0</v>
      </c>
      <c r="W37" s="139">
        <f t="shared" si="46"/>
        <v>0</v>
      </c>
      <c r="X37" s="126">
        <f>'Солар Вест'!X37+Будник!X37</f>
        <v>0</v>
      </c>
      <c r="Y37" s="126">
        <f>'Солар Вест'!Y37+Будник!Y37</f>
        <v>0</v>
      </c>
      <c r="Z37" s="140">
        <f t="shared" si="47"/>
        <v>0</v>
      </c>
      <c r="AA37" s="123">
        <f>'[5]ПП ВДГ'!AA37+'[5]Корсак Л.Р.'!AA37+'[5]Корсак В.І.'!AA37+[5]Конякіна!AA37</f>
        <v>0</v>
      </c>
      <c r="AB37" s="123">
        <f>'[5]ПП ВДГ'!AB37+'[5]Корсак Л.Р.'!AB37+'[5]Корсак В.І.'!AB37+[5]Конякіна!AB37</f>
        <v>0</v>
      </c>
      <c r="AC37" s="139">
        <f t="shared" si="48"/>
        <v>0</v>
      </c>
      <c r="AD37" s="126">
        <f>'Солар Вест'!AD37+Будник!AD37</f>
        <v>0</v>
      </c>
      <c r="AE37" s="126">
        <f>'Солар Вест'!AE37+Будник!AE37</f>
        <v>0</v>
      </c>
      <c r="AF37" s="140">
        <f t="shared" si="49"/>
        <v>0</v>
      </c>
      <c r="AG37" s="123">
        <f>'[5]ПП ВДГ'!AG37+'[5]Корсак Л.Р.'!AG37+'[5]Корсак В.І.'!AG37+[5]Конякіна!AG37</f>
        <v>0</v>
      </c>
      <c r="AH37" s="123">
        <f>'[5]ПП ВДГ'!AH37+'[5]Корсак Л.Р.'!AH37+'[5]Корсак В.І.'!AH37+[5]Конякіна!AH37</f>
        <v>0</v>
      </c>
      <c r="AI37" s="139">
        <f t="shared" si="50"/>
        <v>0</v>
      </c>
      <c r="AJ37" s="126">
        <f>'Солар Вест'!AJ37+Будник!AJ37</f>
        <v>0</v>
      </c>
      <c r="AK37" s="126">
        <f>'Солар Вест'!AK37+Будник!AK37</f>
        <v>0</v>
      </c>
      <c r="AL37" s="140">
        <f t="shared" si="51"/>
        <v>0</v>
      </c>
      <c r="AM37" s="123">
        <f>'[5]ПП ВДГ'!AM37+'[5]Корсак Л.Р.'!AM37+'[5]Корсак В.І.'!AM37+[5]Конякіна!AM37</f>
        <v>0</v>
      </c>
      <c r="AN37" s="123">
        <f>'[5]ПП ВДГ'!AN37+'[5]Корсак Л.Р.'!AN37+'[5]Корсак В.І.'!AN37+[5]Конякіна!AN37</f>
        <v>0</v>
      </c>
      <c r="AO37" s="139">
        <f t="shared" si="52"/>
        <v>0</v>
      </c>
      <c r="AP37" s="126">
        <f>'Солар Вест'!AP37+Будник!AP37</f>
        <v>0</v>
      </c>
      <c r="AQ37" s="126">
        <f>'Солар Вест'!AQ37+Будник!AQ37</f>
        <v>0</v>
      </c>
      <c r="AR37" s="140">
        <f t="shared" si="53"/>
        <v>0</v>
      </c>
      <c r="AS37" s="123">
        <f>'[5]ПП ВДГ'!AS37+'[5]Корсак Л.Р.'!AS37+'[5]Корсак В.І.'!AS37+[5]Конякіна!AS37</f>
        <v>0</v>
      </c>
      <c r="AT37" s="123">
        <f>'[5]ПП ВДГ'!AT37+'[5]Корсак Л.Р.'!AT37+'[5]Корсак В.І.'!AT37+[5]Конякіна!AT37</f>
        <v>0</v>
      </c>
      <c r="AU37" s="139">
        <f t="shared" si="54"/>
        <v>0</v>
      </c>
      <c r="AV37" s="126">
        <f>'Солар Вест'!AV37+Будник!AV37</f>
        <v>0</v>
      </c>
      <c r="AW37" s="126">
        <f>'Солар Вест'!AW37+Будник!AW37</f>
        <v>0</v>
      </c>
      <c r="AX37" s="140">
        <f t="shared" si="55"/>
        <v>0</v>
      </c>
      <c r="AY37" s="123">
        <f>'[5]ПП ВДГ'!AY37+'[5]Корсак Л.Р.'!AY37+'[5]Корсак В.І.'!AY37+[5]Конякіна!AY37</f>
        <v>0</v>
      </c>
      <c r="AZ37" s="123">
        <f>'[5]ПП ВДГ'!AZ37+'[5]Корсак Л.Р.'!AZ37+'[5]Корсак В.І.'!AZ37+[5]Конякіна!AZ37</f>
        <v>0</v>
      </c>
      <c r="BA37" s="139">
        <f t="shared" si="56"/>
        <v>0</v>
      </c>
      <c r="BB37" s="126">
        <f>'Солар Вест'!BB37+Будник!BB37</f>
        <v>0</v>
      </c>
      <c r="BC37" s="126">
        <f>'Солар Вест'!BC37+Будник!BC37</f>
        <v>0</v>
      </c>
      <c r="BD37" s="140">
        <f t="shared" si="57"/>
        <v>0</v>
      </c>
      <c r="BE37" s="126">
        <f>'Солар Вест'!BE37+Будник!BE37</f>
        <v>0</v>
      </c>
      <c r="BF37" s="126">
        <f>'Солар Вест'!BF37+Будник!BF37</f>
        <v>0</v>
      </c>
      <c r="BG37" s="139">
        <f t="shared" si="58"/>
        <v>0</v>
      </c>
      <c r="BH37" s="126">
        <f>'Солар Вест'!BH37+Будник!BH37</f>
        <v>0</v>
      </c>
      <c r="BI37" s="126">
        <f>'Солар Вест'!BI37+Будник!BI37</f>
        <v>0</v>
      </c>
      <c r="BJ37" s="140">
        <f t="shared" si="59"/>
        <v>0</v>
      </c>
      <c r="BK37" s="123">
        <f>'[5]ПП ВДГ'!BK37+'[5]Корсак Л.Р.'!BK37+'[5]Корсак В.І.'!BK37+[5]Конякіна!BK37</f>
        <v>0</v>
      </c>
      <c r="BL37" s="123">
        <f>'[5]ПП ВДГ'!BL37+'[5]Корсак Л.Р.'!BL37+'[5]Корсак В.І.'!BL37+[5]Конякіна!BL37</f>
        <v>0</v>
      </c>
      <c r="BM37" s="139">
        <f t="shared" si="60"/>
        <v>0</v>
      </c>
      <c r="BN37" s="126">
        <f>'Солар Вест'!BN37+Будник!BN37</f>
        <v>0</v>
      </c>
      <c r="BO37" s="126">
        <f>'Солар Вест'!BO37+Будник!BO37</f>
        <v>0</v>
      </c>
      <c r="BP37" s="140">
        <f t="shared" si="61"/>
        <v>0</v>
      </c>
      <c r="BQ37" s="123">
        <f>'[5]ПП ВДГ'!BQ37+'[5]Корсак Л.Р.'!BQ37+'[5]Корсак В.І.'!BQ37+[5]Конякіна!BQ37</f>
        <v>0</v>
      </c>
      <c r="BR37" s="123">
        <f>'[5]ПП ВДГ'!BR37+'[5]Корсак Л.Р.'!BR37+'[5]Корсак В.І.'!BR37+[5]Конякіна!BR37</f>
        <v>0</v>
      </c>
      <c r="BS37" s="139">
        <f t="shared" si="62"/>
        <v>0</v>
      </c>
      <c r="BT37" s="126">
        <f>'Солар Вест'!BT37+Будник!BT37</f>
        <v>0</v>
      </c>
      <c r="BU37" s="126">
        <f>'Солар Вест'!BU37+Будник!BU37</f>
        <v>0</v>
      </c>
      <c r="BV37" s="140">
        <f t="shared" si="63"/>
        <v>0</v>
      </c>
      <c r="BW37" s="123">
        <f t="shared" si="64"/>
        <v>0</v>
      </c>
      <c r="BX37" s="123">
        <f t="shared" si="64"/>
        <v>0</v>
      </c>
      <c r="BY37" s="139">
        <f t="shared" si="65"/>
        <v>0</v>
      </c>
      <c r="BZ37" s="123">
        <f t="shared" si="66"/>
        <v>0</v>
      </c>
      <c r="CA37" s="123">
        <f t="shared" si="66"/>
        <v>0</v>
      </c>
      <c r="CB37" s="140">
        <f t="shared" si="67"/>
        <v>0</v>
      </c>
    </row>
    <row r="38" spans="1:80" x14ac:dyDescent="0.2">
      <c r="A38" s="121">
        <v>124</v>
      </c>
      <c r="B38" s="143" t="s">
        <v>53</v>
      </c>
      <c r="C38" s="123">
        <f>'[5]ПП ВДГ'!C38+'[5]Корсак Л.Р.'!C38+'[5]Корсак В.І.'!C38+[5]Конякіна!C38</f>
        <v>0</v>
      </c>
      <c r="D38" s="123">
        <f>'[5]ПП ВДГ'!D38+'[5]Корсак Л.Р.'!D38+'[5]Корсак В.І.'!D38+[5]Конякіна!D38</f>
        <v>0</v>
      </c>
      <c r="E38" s="131">
        <f t="shared" si="40"/>
        <v>0</v>
      </c>
      <c r="F38" s="128">
        <f>'Солар Вест'!F38+Будник!F38</f>
        <v>0</v>
      </c>
      <c r="G38" s="128">
        <f>'Солар Вест'!G38+Будник!G38</f>
        <v>0</v>
      </c>
      <c r="H38" s="132">
        <f t="shared" si="41"/>
        <v>0</v>
      </c>
      <c r="I38" s="123">
        <f>'[5]ПП ВДГ'!I38+'[5]Корсак Л.Р.'!I38+'[5]Корсак В.І.'!I38+[5]Конякіна!I38</f>
        <v>0</v>
      </c>
      <c r="J38" s="123">
        <f>'[5]ПП ВДГ'!J38+'[5]Корсак Л.Р.'!J38+'[5]Корсак В.І.'!J38+[5]Конякіна!J38</f>
        <v>0</v>
      </c>
      <c r="K38" s="131">
        <f t="shared" si="42"/>
        <v>0</v>
      </c>
      <c r="L38" s="128">
        <f>'Солар Вест'!L38+Будник!L38</f>
        <v>0</v>
      </c>
      <c r="M38" s="128">
        <f>'Солар Вест'!M38+Будник!M38</f>
        <v>0</v>
      </c>
      <c r="N38" s="132">
        <f t="shared" si="43"/>
        <v>0</v>
      </c>
      <c r="O38" s="123">
        <f>'[5]ПП ВДГ'!O38+'[5]Корсак Л.Р.'!O38+'[5]Корсак В.І.'!O38+[5]Конякіна!O38</f>
        <v>0</v>
      </c>
      <c r="P38" s="123">
        <f>'[5]ПП ВДГ'!P38+'[5]Корсак Л.Р.'!P38+'[5]Корсак В.І.'!P38+[5]Конякіна!P38</f>
        <v>0</v>
      </c>
      <c r="Q38" s="131">
        <f t="shared" si="44"/>
        <v>0</v>
      </c>
      <c r="R38" s="128">
        <f>'Солар Вест'!R38+Будник!R38</f>
        <v>0</v>
      </c>
      <c r="S38" s="128">
        <f>'Солар Вест'!S38+Будник!S38</f>
        <v>0</v>
      </c>
      <c r="T38" s="132">
        <f t="shared" si="45"/>
        <v>0</v>
      </c>
      <c r="U38" s="123">
        <f>'[5]ПП ВДГ'!U38+'[5]Корсак Л.Р.'!U38+'[5]Корсак В.І.'!U38+[5]Конякіна!U38</f>
        <v>12210</v>
      </c>
      <c r="V38" s="123">
        <f>'[5]ПП ВДГ'!V38+'[5]Корсак Л.Р.'!V38+'[5]Корсак В.І.'!V38+[5]Конякіна!V38</f>
        <v>0</v>
      </c>
      <c r="W38" s="131">
        <f t="shared" si="46"/>
        <v>12210</v>
      </c>
      <c r="X38" s="128">
        <f>'Солар Вест'!X38+Будник!X38</f>
        <v>0</v>
      </c>
      <c r="Y38" s="128">
        <f>'Солар Вест'!Y38+Будник!Y38</f>
        <v>0</v>
      </c>
      <c r="Z38" s="132">
        <f t="shared" si="47"/>
        <v>0</v>
      </c>
      <c r="AA38" s="123">
        <f>'[5]ПП ВДГ'!AA38+'[5]Корсак Л.Р.'!AA38+'[5]Корсак В.І.'!AA38+[5]Конякіна!AA38</f>
        <v>2596</v>
      </c>
      <c r="AB38" s="123">
        <f>'[5]ПП ВДГ'!AB38+'[5]Корсак Л.Р.'!AB38+'[5]Корсак В.І.'!AB38+[5]Конякіна!AB38</f>
        <v>0</v>
      </c>
      <c r="AC38" s="131">
        <f t="shared" si="48"/>
        <v>2596</v>
      </c>
      <c r="AD38" s="128">
        <f>'Солар Вест'!AD38+Будник!AD38</f>
        <v>0</v>
      </c>
      <c r="AE38" s="128">
        <f>'Солар Вест'!AE38+Будник!AE38</f>
        <v>0</v>
      </c>
      <c r="AF38" s="132">
        <f t="shared" si="49"/>
        <v>0</v>
      </c>
      <c r="AG38" s="123">
        <f>'[5]ПП ВДГ'!AG38+'[5]Корсак Л.Р.'!AG38+'[5]Корсак В.І.'!AG38+[5]Конякіна!AG38</f>
        <v>2554</v>
      </c>
      <c r="AH38" s="123">
        <f>'[5]ПП ВДГ'!AH38+'[5]Корсак Л.Р.'!AH38+'[5]Корсак В.І.'!AH38+[5]Конякіна!AH38</f>
        <v>0</v>
      </c>
      <c r="AI38" s="131">
        <f t="shared" si="50"/>
        <v>2554</v>
      </c>
      <c r="AJ38" s="128">
        <f>'Солар Вест'!AJ38+Будник!AJ38</f>
        <v>0</v>
      </c>
      <c r="AK38" s="128">
        <f>'Солар Вест'!AK38+Будник!AK38</f>
        <v>0</v>
      </c>
      <c r="AL38" s="132">
        <f t="shared" si="51"/>
        <v>0</v>
      </c>
      <c r="AM38" s="123">
        <f>'[5]ПП ВДГ'!AM38+'[5]Корсак Л.Р.'!AM38+'[5]Корсак В.І.'!AM38+[5]Конякіна!AM38</f>
        <v>2514</v>
      </c>
      <c r="AN38" s="123">
        <f>'[5]ПП ВДГ'!AN38+'[5]Корсак Л.Р.'!AN38+'[5]Корсак В.І.'!AN38+[5]Конякіна!AN38</f>
        <v>0</v>
      </c>
      <c r="AO38" s="131">
        <f t="shared" si="52"/>
        <v>2514</v>
      </c>
      <c r="AP38" s="128">
        <f>'Солар Вест'!AP38+Будник!AP38</f>
        <v>0</v>
      </c>
      <c r="AQ38" s="128">
        <f>'Солар Вест'!AQ38+Будник!AQ38</f>
        <v>0</v>
      </c>
      <c r="AR38" s="132">
        <f t="shared" si="53"/>
        <v>0</v>
      </c>
      <c r="AS38" s="123">
        <f>'[5]ПП ВДГ'!AS38+'[5]Корсак Л.Р.'!AS38+'[5]Корсак В.І.'!AS38+[5]Конякіна!AS38</f>
        <v>2475</v>
      </c>
      <c r="AT38" s="123">
        <f>'[5]ПП ВДГ'!AT38+'[5]Корсак Л.Р.'!AT38+'[5]Корсак В.І.'!AT38+[5]Конякіна!AT38</f>
        <v>0</v>
      </c>
      <c r="AU38" s="131">
        <f t="shared" si="54"/>
        <v>2475</v>
      </c>
      <c r="AV38" s="128">
        <f>'Солар Вест'!AV38+Будник!AV38</f>
        <v>0</v>
      </c>
      <c r="AW38" s="128">
        <f>'Солар Вест'!AW38+Будник!AW38</f>
        <v>0</v>
      </c>
      <c r="AX38" s="132">
        <f t="shared" si="55"/>
        <v>0</v>
      </c>
      <c r="AY38" s="123">
        <f>'[5]ПП ВДГ'!AY38+'[5]Корсак Л.Р.'!AY38+'[5]Корсак В.І.'!AY38+[5]Конякіна!AY38</f>
        <v>0</v>
      </c>
      <c r="AZ38" s="123">
        <f>'[5]ПП ВДГ'!AZ38+'[5]Корсак Л.Р.'!AZ38+'[5]Корсак В.І.'!AZ38+[5]Конякіна!AZ38</f>
        <v>0</v>
      </c>
      <c r="BA38" s="131">
        <f t="shared" si="56"/>
        <v>0</v>
      </c>
      <c r="BB38" s="128">
        <f>'Солар Вест'!BB38+Будник!BB38</f>
        <v>0</v>
      </c>
      <c r="BC38" s="128">
        <f>'Солар Вест'!BC38+Будник!BC38</f>
        <v>0</v>
      </c>
      <c r="BD38" s="132">
        <f t="shared" si="57"/>
        <v>0</v>
      </c>
      <c r="BE38" s="128">
        <f>'Солар Вест'!BE38+Будник!BE38</f>
        <v>0</v>
      </c>
      <c r="BF38" s="128">
        <f>'Солар Вест'!BF38+Будник!BF38</f>
        <v>0</v>
      </c>
      <c r="BG38" s="131">
        <f t="shared" si="58"/>
        <v>0</v>
      </c>
      <c r="BH38" s="128">
        <f>'Солар Вест'!BH38+Будник!BH38</f>
        <v>0</v>
      </c>
      <c r="BI38" s="128">
        <f>'Солар Вест'!BI38+Будник!BI38</f>
        <v>0</v>
      </c>
      <c r="BJ38" s="132">
        <f t="shared" si="59"/>
        <v>0</v>
      </c>
      <c r="BK38" s="123">
        <f>'[5]ПП ВДГ'!BK38+'[5]Корсак Л.Р.'!BK38+'[5]Корсак В.І.'!BK38+[5]Конякіна!BK38</f>
        <v>2366</v>
      </c>
      <c r="BL38" s="123">
        <f>'[5]ПП ВДГ'!BL38+'[5]Корсак Л.Р.'!BL38+'[5]Корсак В.І.'!BL38+[5]Конякіна!BL38</f>
        <v>0</v>
      </c>
      <c r="BM38" s="131">
        <f t="shared" si="60"/>
        <v>2366</v>
      </c>
      <c r="BN38" s="128">
        <f>'Солар Вест'!BN38+Будник!BN38</f>
        <v>0</v>
      </c>
      <c r="BO38" s="128">
        <f>'Солар Вест'!BO38+Будник!BO38</f>
        <v>0</v>
      </c>
      <c r="BP38" s="132">
        <f t="shared" si="61"/>
        <v>0</v>
      </c>
      <c r="BQ38" s="123">
        <f>'[5]ПП ВДГ'!BQ38+'[5]Корсак Л.Р.'!BQ38+'[5]Корсак В.І.'!BQ38+[5]Конякіна!BQ38</f>
        <v>2332</v>
      </c>
      <c r="BR38" s="123">
        <f>'[5]ПП ВДГ'!BR38+'[5]Корсак Л.Р.'!BR38+'[5]Корсак В.І.'!BR38+[5]Конякіна!BR38</f>
        <v>0</v>
      </c>
      <c r="BS38" s="131">
        <f t="shared" si="62"/>
        <v>2332</v>
      </c>
      <c r="BT38" s="128">
        <f>'Солар Вест'!BT38+Будник!BT38</f>
        <v>0</v>
      </c>
      <c r="BU38" s="128">
        <f>'Солар Вест'!BU38+Будник!BU38</f>
        <v>0</v>
      </c>
      <c r="BV38" s="132">
        <f t="shared" si="63"/>
        <v>0</v>
      </c>
      <c r="BW38" s="123">
        <f t="shared" si="64"/>
        <v>27047</v>
      </c>
      <c r="BX38" s="123">
        <f t="shared" si="64"/>
        <v>0</v>
      </c>
      <c r="BY38" s="131">
        <f t="shared" si="65"/>
        <v>27047</v>
      </c>
      <c r="BZ38" s="123">
        <f t="shared" si="66"/>
        <v>0</v>
      </c>
      <c r="CA38" s="123">
        <f t="shared" si="66"/>
        <v>0</v>
      </c>
      <c r="CB38" s="132">
        <f t="shared" si="67"/>
        <v>0</v>
      </c>
    </row>
    <row r="39" spans="1:80" outlineLevel="1" x14ac:dyDescent="0.2">
      <c r="A39" s="144" t="s">
        <v>54</v>
      </c>
      <c r="B39" s="145" t="s">
        <v>55</v>
      </c>
      <c r="C39" s="123">
        <f>'[5]ПП ВДГ'!C39+'[5]Корсак Л.Р.'!C39+'[5]Корсак В.І.'!C39+[5]Конякіна!C39</f>
        <v>0</v>
      </c>
      <c r="D39" s="123">
        <f>'[5]ПП ВДГ'!D39+'[5]Корсак Л.Р.'!D39+'[5]Корсак В.І.'!D39+[5]Конякіна!D39</f>
        <v>0</v>
      </c>
      <c r="E39" s="139">
        <f t="shared" si="40"/>
        <v>0</v>
      </c>
      <c r="F39" s="126">
        <f>'Солар Вест'!F39+Будник!F39</f>
        <v>0</v>
      </c>
      <c r="G39" s="126">
        <f>'Солар Вест'!G39+Будник!G39</f>
        <v>0</v>
      </c>
      <c r="H39" s="146">
        <f t="shared" si="41"/>
        <v>0</v>
      </c>
      <c r="I39" s="123">
        <f>'[5]ПП ВДГ'!I39+'[5]Корсак Л.Р.'!I39+'[5]Корсак В.І.'!I39+[5]Конякіна!I39</f>
        <v>0</v>
      </c>
      <c r="J39" s="123">
        <f>'[5]ПП ВДГ'!J39+'[5]Корсак Л.Р.'!J39+'[5]Корсак В.І.'!J39+[5]Конякіна!J39</f>
        <v>0</v>
      </c>
      <c r="K39" s="139">
        <f t="shared" si="42"/>
        <v>0</v>
      </c>
      <c r="L39" s="126">
        <f>'Солар Вест'!L39+Будник!L39</f>
        <v>0</v>
      </c>
      <c r="M39" s="126">
        <f>'Солар Вест'!M39+Будник!M39</f>
        <v>0</v>
      </c>
      <c r="N39" s="146">
        <f t="shared" si="43"/>
        <v>0</v>
      </c>
      <c r="O39" s="123">
        <f>'[5]ПП ВДГ'!O39+'[5]Корсак Л.Р.'!O39+'[5]Корсак В.І.'!O39+[5]Конякіна!O39</f>
        <v>0</v>
      </c>
      <c r="P39" s="123">
        <f>'[5]ПП ВДГ'!P39+'[5]Корсак Л.Р.'!P39+'[5]Корсак В.І.'!P39+[5]Конякіна!P39</f>
        <v>0</v>
      </c>
      <c r="Q39" s="139">
        <f t="shared" si="44"/>
        <v>0</v>
      </c>
      <c r="R39" s="126">
        <f>'Солар Вест'!R39+Будник!R39</f>
        <v>0</v>
      </c>
      <c r="S39" s="126">
        <f>'Солар Вест'!S39+Будник!S39</f>
        <v>0</v>
      </c>
      <c r="T39" s="146">
        <f t="shared" si="45"/>
        <v>0</v>
      </c>
      <c r="U39" s="123">
        <f>'[5]ПП ВДГ'!U39+'[5]Корсак Л.Р.'!U39+'[5]Корсак В.І.'!U39+[5]Конякіна!U39</f>
        <v>0</v>
      </c>
      <c r="V39" s="123">
        <f>'[5]ПП ВДГ'!V39+'[5]Корсак Л.Р.'!V39+'[5]Корсак В.І.'!V39+[5]Конякіна!V39</f>
        <v>0</v>
      </c>
      <c r="W39" s="139">
        <f t="shared" si="46"/>
        <v>0</v>
      </c>
      <c r="X39" s="126">
        <f>'Солар Вест'!X39+Будник!X39</f>
        <v>0</v>
      </c>
      <c r="Y39" s="126">
        <f>'Солар Вест'!Y39+Будник!Y39</f>
        <v>0</v>
      </c>
      <c r="Z39" s="146">
        <f t="shared" si="47"/>
        <v>0</v>
      </c>
      <c r="AA39" s="123">
        <f>'[5]ПП ВДГ'!AA39+'[5]Корсак Л.Р.'!AA39+'[5]Корсак В.І.'!AA39+[5]Конякіна!AA39</f>
        <v>0</v>
      </c>
      <c r="AB39" s="123">
        <f>'[5]ПП ВДГ'!AB39+'[5]Корсак Л.Р.'!AB39+'[5]Корсак В.І.'!AB39+[5]Конякіна!AB39</f>
        <v>0</v>
      </c>
      <c r="AC39" s="139">
        <f t="shared" si="48"/>
        <v>0</v>
      </c>
      <c r="AD39" s="126">
        <f>'Солар Вест'!AD39+Будник!AD39</f>
        <v>0</v>
      </c>
      <c r="AE39" s="126">
        <f>'Солар Вест'!AE39+Будник!AE39</f>
        <v>0</v>
      </c>
      <c r="AF39" s="146">
        <f t="shared" si="49"/>
        <v>0</v>
      </c>
      <c r="AG39" s="123">
        <f>'[5]ПП ВДГ'!AG39+'[5]Корсак Л.Р.'!AG39+'[5]Корсак В.І.'!AG39+[5]Конякіна!AG39</f>
        <v>0</v>
      </c>
      <c r="AH39" s="123">
        <f>'[5]ПП ВДГ'!AH39+'[5]Корсак Л.Р.'!AH39+'[5]Корсак В.І.'!AH39+[5]Конякіна!AH39</f>
        <v>0</v>
      </c>
      <c r="AI39" s="139">
        <f t="shared" si="50"/>
        <v>0</v>
      </c>
      <c r="AJ39" s="126">
        <f>'Солар Вест'!AJ39+Будник!AJ39</f>
        <v>0</v>
      </c>
      <c r="AK39" s="126">
        <f>'Солар Вест'!AK39+Будник!AK39</f>
        <v>0</v>
      </c>
      <c r="AL39" s="146">
        <f t="shared" si="51"/>
        <v>0</v>
      </c>
      <c r="AM39" s="123">
        <f>'[5]ПП ВДГ'!AM39+'[5]Корсак Л.Р.'!AM39+'[5]Корсак В.І.'!AM39+[5]Конякіна!AM39</f>
        <v>0</v>
      </c>
      <c r="AN39" s="123">
        <f>'[5]ПП ВДГ'!AN39+'[5]Корсак Л.Р.'!AN39+'[5]Корсак В.І.'!AN39+[5]Конякіна!AN39</f>
        <v>0</v>
      </c>
      <c r="AO39" s="139">
        <f t="shared" si="52"/>
        <v>0</v>
      </c>
      <c r="AP39" s="126">
        <f>'Солар Вест'!AP39+Будник!AP39</f>
        <v>0</v>
      </c>
      <c r="AQ39" s="126">
        <f>'Солар Вест'!AQ39+Будник!AQ39</f>
        <v>0</v>
      </c>
      <c r="AR39" s="146">
        <f t="shared" si="53"/>
        <v>0</v>
      </c>
      <c r="AS39" s="123">
        <f>'[5]ПП ВДГ'!AS39+'[5]Корсак Л.Р.'!AS39+'[5]Корсак В.І.'!AS39+[5]Конякіна!AS39</f>
        <v>0</v>
      </c>
      <c r="AT39" s="123">
        <f>'[5]ПП ВДГ'!AT39+'[5]Корсак Л.Р.'!AT39+'[5]Корсак В.І.'!AT39+[5]Конякіна!AT39</f>
        <v>0</v>
      </c>
      <c r="AU39" s="139">
        <f t="shared" si="54"/>
        <v>0</v>
      </c>
      <c r="AV39" s="126">
        <f>'Солар Вест'!AV39+Будник!AV39</f>
        <v>0</v>
      </c>
      <c r="AW39" s="126">
        <f>'Солар Вест'!AW39+Будник!AW39</f>
        <v>0</v>
      </c>
      <c r="AX39" s="146">
        <f t="shared" si="55"/>
        <v>0</v>
      </c>
      <c r="AY39" s="123">
        <f>'[5]ПП ВДГ'!AY39+'[5]Корсак Л.Р.'!AY39+'[5]Корсак В.І.'!AY39+[5]Конякіна!AY39</f>
        <v>0</v>
      </c>
      <c r="AZ39" s="123">
        <f>'[5]ПП ВДГ'!AZ39+'[5]Корсак Л.Р.'!AZ39+'[5]Корсак В.І.'!AZ39+[5]Конякіна!AZ39</f>
        <v>0</v>
      </c>
      <c r="BA39" s="139">
        <f t="shared" si="56"/>
        <v>0</v>
      </c>
      <c r="BB39" s="126">
        <f>'Солар Вест'!BB39+Будник!BB39</f>
        <v>0</v>
      </c>
      <c r="BC39" s="126">
        <f>'Солар Вест'!BC39+Будник!BC39</f>
        <v>0</v>
      </c>
      <c r="BD39" s="146">
        <f t="shared" si="57"/>
        <v>0</v>
      </c>
      <c r="BE39" s="126">
        <f>'Солар Вест'!BE39+Будник!BE39</f>
        <v>0</v>
      </c>
      <c r="BF39" s="126">
        <f>'Солар Вест'!BF39+Будник!BF39</f>
        <v>0</v>
      </c>
      <c r="BG39" s="139">
        <f t="shared" si="58"/>
        <v>0</v>
      </c>
      <c r="BH39" s="126">
        <f>'Солар Вест'!BH39+Будник!BH39</f>
        <v>0</v>
      </c>
      <c r="BI39" s="126">
        <f>'Солар Вест'!BI39+Будник!BI39</f>
        <v>0</v>
      </c>
      <c r="BJ39" s="146">
        <f t="shared" si="59"/>
        <v>0</v>
      </c>
      <c r="BK39" s="123">
        <f>'[5]ПП ВДГ'!BK39+'[5]Корсак Л.Р.'!BK39+'[5]Корсак В.І.'!BK39+[5]Конякіна!BK39</f>
        <v>0</v>
      </c>
      <c r="BL39" s="123">
        <f>'[5]ПП ВДГ'!BL39+'[5]Корсак Л.Р.'!BL39+'[5]Корсак В.І.'!BL39+[5]Конякіна!BL39</f>
        <v>0</v>
      </c>
      <c r="BM39" s="139">
        <f t="shared" si="60"/>
        <v>0</v>
      </c>
      <c r="BN39" s="126">
        <f>'Солар Вест'!BN39+Будник!BN39</f>
        <v>0</v>
      </c>
      <c r="BO39" s="126">
        <f>'Солар Вест'!BO39+Будник!BO39</f>
        <v>0</v>
      </c>
      <c r="BP39" s="146">
        <f t="shared" si="61"/>
        <v>0</v>
      </c>
      <c r="BQ39" s="123">
        <f>'[5]ПП ВДГ'!BQ39+'[5]Корсак Л.Р.'!BQ39+'[5]Корсак В.І.'!BQ39+[5]Конякіна!BQ39</f>
        <v>0</v>
      </c>
      <c r="BR39" s="123">
        <f>'[5]ПП ВДГ'!BR39+'[5]Корсак Л.Р.'!BR39+'[5]Корсак В.І.'!BR39+[5]Конякіна!BR39</f>
        <v>0</v>
      </c>
      <c r="BS39" s="139">
        <f t="shared" si="62"/>
        <v>0</v>
      </c>
      <c r="BT39" s="126">
        <f>'Солар Вест'!BT39+Будник!BT39</f>
        <v>0</v>
      </c>
      <c r="BU39" s="126">
        <f>'Солар Вест'!BU39+Будник!BU39</f>
        <v>0</v>
      </c>
      <c r="BV39" s="146">
        <f t="shared" si="63"/>
        <v>0</v>
      </c>
      <c r="BW39" s="123">
        <f t="shared" si="64"/>
        <v>0</v>
      </c>
      <c r="BX39" s="123">
        <f t="shared" si="64"/>
        <v>0</v>
      </c>
      <c r="BY39" s="139">
        <f t="shared" si="65"/>
        <v>0</v>
      </c>
      <c r="BZ39" s="123">
        <f t="shared" si="66"/>
        <v>0</v>
      </c>
      <c r="CA39" s="123">
        <f t="shared" si="66"/>
        <v>0</v>
      </c>
      <c r="CB39" s="146">
        <f t="shared" si="67"/>
        <v>0</v>
      </c>
    </row>
    <row r="40" spans="1:80" ht="24" outlineLevel="1" x14ac:dyDescent="0.2">
      <c r="A40" s="144" t="s">
        <v>56</v>
      </c>
      <c r="B40" s="145" t="s">
        <v>57</v>
      </c>
      <c r="C40" s="123">
        <f>'[5]ПП ВДГ'!C40+'[5]Корсак Л.Р.'!C40+'[5]Корсак В.І.'!C40+[5]Конякіна!C40</f>
        <v>0</v>
      </c>
      <c r="D40" s="123">
        <f>'[5]ПП ВДГ'!D40+'[5]Корсак Л.Р.'!D40+'[5]Корсак В.І.'!D40+[5]Конякіна!D40</f>
        <v>0</v>
      </c>
      <c r="E40" s="139">
        <f t="shared" si="40"/>
        <v>0</v>
      </c>
      <c r="F40" s="126">
        <f>'Солар Вест'!F40+Будник!F40</f>
        <v>0</v>
      </c>
      <c r="G40" s="126">
        <f>'Солар Вест'!G40+Будник!G40</f>
        <v>0</v>
      </c>
      <c r="H40" s="146">
        <f t="shared" si="41"/>
        <v>0</v>
      </c>
      <c r="I40" s="123">
        <f>'[5]ПП ВДГ'!I40+'[5]Корсак Л.Р.'!I40+'[5]Корсак В.І.'!I40+[5]Конякіна!I40</f>
        <v>0</v>
      </c>
      <c r="J40" s="123">
        <f>'[5]ПП ВДГ'!J40+'[5]Корсак Л.Р.'!J40+'[5]Корсак В.І.'!J40+[5]Конякіна!J40</f>
        <v>0</v>
      </c>
      <c r="K40" s="139">
        <f t="shared" si="42"/>
        <v>0</v>
      </c>
      <c r="L40" s="126">
        <f>'Солар Вест'!L40+Будник!L40</f>
        <v>0</v>
      </c>
      <c r="M40" s="126">
        <f>'Солар Вест'!M40+Будник!M40</f>
        <v>0</v>
      </c>
      <c r="N40" s="146">
        <f t="shared" si="43"/>
        <v>0</v>
      </c>
      <c r="O40" s="123">
        <f>'[5]ПП ВДГ'!O40+'[5]Корсак Л.Р.'!O40+'[5]Корсак В.І.'!O40+[5]Конякіна!O40</f>
        <v>0</v>
      </c>
      <c r="P40" s="123">
        <f>'[5]ПП ВДГ'!P40+'[5]Корсак Л.Р.'!P40+'[5]Корсак В.І.'!P40+[5]Конякіна!P40</f>
        <v>0</v>
      </c>
      <c r="Q40" s="139">
        <f t="shared" si="44"/>
        <v>0</v>
      </c>
      <c r="R40" s="126">
        <f>'Солар Вест'!R40+Будник!R40</f>
        <v>0</v>
      </c>
      <c r="S40" s="126">
        <f>'Солар Вест'!S40+Будник!S40</f>
        <v>0</v>
      </c>
      <c r="T40" s="146">
        <f t="shared" si="45"/>
        <v>0</v>
      </c>
      <c r="U40" s="123">
        <f>'[5]ПП ВДГ'!U40+'[5]Корсак Л.Р.'!U40+'[5]Корсак В.І.'!U40+[5]Конякіна!U40</f>
        <v>0</v>
      </c>
      <c r="V40" s="123">
        <f>'[5]ПП ВДГ'!V40+'[5]Корсак Л.Р.'!V40+'[5]Корсак В.І.'!V40+[5]Конякіна!V40</f>
        <v>0</v>
      </c>
      <c r="W40" s="139">
        <f t="shared" si="46"/>
        <v>0</v>
      </c>
      <c r="X40" s="126">
        <f>'Солар Вест'!X40+Будник!X40</f>
        <v>0</v>
      </c>
      <c r="Y40" s="126">
        <f>'Солар Вест'!Y40+Будник!Y40</f>
        <v>0</v>
      </c>
      <c r="Z40" s="146">
        <f t="shared" si="47"/>
        <v>0</v>
      </c>
      <c r="AA40" s="123">
        <f>'[5]ПП ВДГ'!AA40+'[5]Корсак Л.Р.'!AA40+'[5]Корсак В.І.'!AA40+[5]Конякіна!AA40</f>
        <v>0</v>
      </c>
      <c r="AB40" s="123">
        <f>'[5]ПП ВДГ'!AB40+'[5]Корсак Л.Р.'!AB40+'[5]Корсак В.І.'!AB40+[5]Конякіна!AB40</f>
        <v>0</v>
      </c>
      <c r="AC40" s="139">
        <f t="shared" si="48"/>
        <v>0</v>
      </c>
      <c r="AD40" s="126">
        <f>'Солар Вест'!AD40+Будник!AD40</f>
        <v>0</v>
      </c>
      <c r="AE40" s="126">
        <f>'Солар Вест'!AE40+Будник!AE40</f>
        <v>0</v>
      </c>
      <c r="AF40" s="146">
        <f t="shared" si="49"/>
        <v>0</v>
      </c>
      <c r="AG40" s="123">
        <f>'[5]ПП ВДГ'!AG40+'[5]Корсак Л.Р.'!AG40+'[5]Корсак В.І.'!AG40+[5]Конякіна!AG40</f>
        <v>0</v>
      </c>
      <c r="AH40" s="123">
        <f>'[5]ПП ВДГ'!AH40+'[5]Корсак Л.Р.'!AH40+'[5]Корсак В.І.'!AH40+[5]Конякіна!AH40</f>
        <v>0</v>
      </c>
      <c r="AI40" s="139">
        <f t="shared" si="50"/>
        <v>0</v>
      </c>
      <c r="AJ40" s="126">
        <f>'Солар Вест'!AJ40+Будник!AJ40</f>
        <v>0</v>
      </c>
      <c r="AK40" s="126">
        <f>'Солар Вест'!AK40+Будник!AK40</f>
        <v>0</v>
      </c>
      <c r="AL40" s="146">
        <f t="shared" si="51"/>
        <v>0</v>
      </c>
      <c r="AM40" s="123">
        <f>'[5]ПП ВДГ'!AM40+'[5]Корсак Л.Р.'!AM40+'[5]Корсак В.І.'!AM40+[5]Конякіна!AM40</f>
        <v>0</v>
      </c>
      <c r="AN40" s="123">
        <f>'[5]ПП ВДГ'!AN40+'[5]Корсак Л.Р.'!AN40+'[5]Корсак В.І.'!AN40+[5]Конякіна!AN40</f>
        <v>0</v>
      </c>
      <c r="AO40" s="139">
        <f t="shared" si="52"/>
        <v>0</v>
      </c>
      <c r="AP40" s="126">
        <f>'Солар Вест'!AP40+Будник!AP40</f>
        <v>0</v>
      </c>
      <c r="AQ40" s="126">
        <f>'Солар Вест'!AQ40+Будник!AQ40</f>
        <v>0</v>
      </c>
      <c r="AR40" s="146">
        <f t="shared" si="53"/>
        <v>0</v>
      </c>
      <c r="AS40" s="123">
        <f>'[5]ПП ВДГ'!AS40+'[5]Корсак Л.Р.'!AS40+'[5]Корсак В.І.'!AS40+[5]Конякіна!AS40</f>
        <v>0</v>
      </c>
      <c r="AT40" s="123">
        <f>'[5]ПП ВДГ'!AT40+'[5]Корсак Л.Р.'!AT40+'[5]Корсак В.І.'!AT40+[5]Конякіна!AT40</f>
        <v>0</v>
      </c>
      <c r="AU40" s="139">
        <f t="shared" si="54"/>
        <v>0</v>
      </c>
      <c r="AV40" s="126">
        <f>'Солар Вест'!AV40+Будник!AV40</f>
        <v>0</v>
      </c>
      <c r="AW40" s="126">
        <f>'Солар Вест'!AW40+Будник!AW40</f>
        <v>0</v>
      </c>
      <c r="AX40" s="146">
        <f t="shared" si="55"/>
        <v>0</v>
      </c>
      <c r="AY40" s="123">
        <f>'[5]ПП ВДГ'!AY40+'[5]Корсак Л.Р.'!AY40+'[5]Корсак В.І.'!AY40+[5]Конякіна!AY40</f>
        <v>0</v>
      </c>
      <c r="AZ40" s="123">
        <f>'[5]ПП ВДГ'!AZ40+'[5]Корсак Л.Р.'!AZ40+'[5]Корсак В.І.'!AZ40+[5]Конякіна!AZ40</f>
        <v>0</v>
      </c>
      <c r="BA40" s="139">
        <f t="shared" si="56"/>
        <v>0</v>
      </c>
      <c r="BB40" s="126">
        <f>'Солар Вест'!BB40+Будник!BB40</f>
        <v>0</v>
      </c>
      <c r="BC40" s="126">
        <f>'Солар Вест'!BC40+Будник!BC40</f>
        <v>0</v>
      </c>
      <c r="BD40" s="146">
        <f t="shared" si="57"/>
        <v>0</v>
      </c>
      <c r="BE40" s="126">
        <f>'Солар Вест'!BE40+Будник!BE40</f>
        <v>0</v>
      </c>
      <c r="BF40" s="126">
        <f>'Солар Вест'!BF40+Будник!BF40</f>
        <v>0</v>
      </c>
      <c r="BG40" s="139">
        <f t="shared" si="58"/>
        <v>0</v>
      </c>
      <c r="BH40" s="126">
        <f>'Солар Вест'!BH40+Будник!BH40</f>
        <v>0</v>
      </c>
      <c r="BI40" s="126">
        <f>'Солар Вест'!BI40+Будник!BI40</f>
        <v>0</v>
      </c>
      <c r="BJ40" s="146">
        <f t="shared" si="59"/>
        <v>0</v>
      </c>
      <c r="BK40" s="123">
        <f>'[5]ПП ВДГ'!BK40+'[5]Корсак Л.Р.'!BK40+'[5]Корсак В.І.'!BK40+[5]Конякіна!BK40</f>
        <v>0</v>
      </c>
      <c r="BL40" s="123">
        <f>'[5]ПП ВДГ'!BL40+'[5]Корсак Л.Р.'!BL40+'[5]Корсак В.І.'!BL40+[5]Конякіна!BL40</f>
        <v>0</v>
      </c>
      <c r="BM40" s="139">
        <f t="shared" si="60"/>
        <v>0</v>
      </c>
      <c r="BN40" s="126">
        <f>'Солар Вест'!BN40+Будник!BN40</f>
        <v>0</v>
      </c>
      <c r="BO40" s="126">
        <f>'Солар Вест'!BO40+Будник!BO40</f>
        <v>0</v>
      </c>
      <c r="BP40" s="146">
        <f t="shared" si="61"/>
        <v>0</v>
      </c>
      <c r="BQ40" s="123">
        <f>'[5]ПП ВДГ'!BQ40+'[5]Корсак Л.Р.'!BQ40+'[5]Корсак В.І.'!BQ40+[5]Конякіна!BQ40</f>
        <v>0</v>
      </c>
      <c r="BR40" s="123">
        <f>'[5]ПП ВДГ'!BR40+'[5]Корсак Л.Р.'!BR40+'[5]Корсак В.І.'!BR40+[5]Конякіна!BR40</f>
        <v>0</v>
      </c>
      <c r="BS40" s="139">
        <f t="shared" si="62"/>
        <v>0</v>
      </c>
      <c r="BT40" s="126">
        <f>'Солар Вест'!BT40+Будник!BT40</f>
        <v>0</v>
      </c>
      <c r="BU40" s="126">
        <f>'Солар Вест'!BU40+Будник!BU40</f>
        <v>0</v>
      </c>
      <c r="BV40" s="146">
        <f t="shared" si="63"/>
        <v>0</v>
      </c>
      <c r="BW40" s="123">
        <f t="shared" si="64"/>
        <v>0</v>
      </c>
      <c r="BX40" s="123">
        <f t="shared" si="64"/>
        <v>0</v>
      </c>
      <c r="BY40" s="139">
        <f t="shared" si="65"/>
        <v>0</v>
      </c>
      <c r="BZ40" s="123">
        <f t="shared" si="66"/>
        <v>0</v>
      </c>
      <c r="CA40" s="123">
        <f t="shared" si="66"/>
        <v>0</v>
      </c>
      <c r="CB40" s="146">
        <f t="shared" si="67"/>
        <v>0</v>
      </c>
    </row>
    <row r="41" spans="1:80" outlineLevel="1" x14ac:dyDescent="0.2">
      <c r="A41" s="144" t="s">
        <v>95</v>
      </c>
      <c r="B41" s="145" t="s">
        <v>59</v>
      </c>
      <c r="C41" s="123">
        <f>'[5]ПП ВДГ'!C41+'[5]Корсак Л.Р.'!C41+'[5]Корсак В.І.'!C41+[5]Конякіна!C41</f>
        <v>0</v>
      </c>
      <c r="D41" s="123">
        <f>'[5]ПП ВДГ'!D41+'[5]Корсак Л.Р.'!D41+'[5]Корсак В.І.'!D41+[5]Конякіна!D41</f>
        <v>0</v>
      </c>
      <c r="E41" s="139">
        <f t="shared" si="40"/>
        <v>0</v>
      </c>
      <c r="F41" s="126">
        <f>'Солар Вест'!F41+Будник!F41</f>
        <v>0</v>
      </c>
      <c r="G41" s="126">
        <f>'Солар Вест'!G41+Будник!G41</f>
        <v>0</v>
      </c>
      <c r="H41" s="146">
        <f t="shared" si="41"/>
        <v>0</v>
      </c>
      <c r="I41" s="123">
        <f>'[5]ПП ВДГ'!I41+'[5]Корсак Л.Р.'!I41+'[5]Корсак В.І.'!I41+[5]Конякіна!I41</f>
        <v>0</v>
      </c>
      <c r="J41" s="123">
        <f>'[5]ПП ВДГ'!J41+'[5]Корсак Л.Р.'!J41+'[5]Корсак В.І.'!J41+[5]Конякіна!J41</f>
        <v>0</v>
      </c>
      <c r="K41" s="139">
        <f t="shared" si="42"/>
        <v>0</v>
      </c>
      <c r="L41" s="126">
        <f>'Солар Вест'!L41+Будник!L41</f>
        <v>0</v>
      </c>
      <c r="M41" s="126">
        <f>'Солар Вест'!M41+Будник!M41</f>
        <v>0</v>
      </c>
      <c r="N41" s="146">
        <f t="shared" si="43"/>
        <v>0</v>
      </c>
      <c r="O41" s="123">
        <f>'[5]ПП ВДГ'!O41+'[5]Корсак Л.Р.'!O41+'[5]Корсак В.І.'!O41+[5]Конякіна!O41</f>
        <v>0</v>
      </c>
      <c r="P41" s="123">
        <f>'[5]ПП ВДГ'!P41+'[5]Корсак Л.Р.'!P41+'[5]Корсак В.І.'!P41+[5]Конякіна!P41</f>
        <v>0</v>
      </c>
      <c r="Q41" s="139">
        <f t="shared" si="44"/>
        <v>0</v>
      </c>
      <c r="R41" s="126">
        <f>'Солар Вест'!R41+Будник!R41</f>
        <v>0</v>
      </c>
      <c r="S41" s="126">
        <f>'Солар Вест'!S41+Будник!S41</f>
        <v>0</v>
      </c>
      <c r="T41" s="146">
        <f t="shared" si="45"/>
        <v>0</v>
      </c>
      <c r="U41" s="123">
        <f>'[5]ПП ВДГ'!U41+'[5]Корсак Л.Р.'!U41+'[5]Корсак В.І.'!U41+[5]Конякіна!U41</f>
        <v>10000</v>
      </c>
      <c r="V41" s="123">
        <f>'[5]ПП ВДГ'!V41+'[5]Корсак Л.Р.'!V41+'[5]Корсак В.І.'!V41+[5]Конякіна!V41</f>
        <v>0</v>
      </c>
      <c r="W41" s="139">
        <f t="shared" si="46"/>
        <v>10000</v>
      </c>
      <c r="X41" s="126">
        <f>'Солар Вест'!X41+Будник!X41</f>
        <v>0</v>
      </c>
      <c r="Y41" s="126">
        <f>'Солар Вест'!Y41+Будник!Y41</f>
        <v>0</v>
      </c>
      <c r="Z41" s="146">
        <f t="shared" si="47"/>
        <v>0</v>
      </c>
      <c r="AA41" s="123">
        <f>'[5]ПП ВДГ'!AA41+'[5]Корсак Л.Р.'!AA41+'[5]Корсак В.І.'!AA41+[5]Конякіна!AA41</f>
        <v>0</v>
      </c>
      <c r="AB41" s="123">
        <f>'[5]ПП ВДГ'!AB41+'[5]Корсак Л.Р.'!AB41+'[5]Корсак В.І.'!AB41+[5]Конякіна!AB41</f>
        <v>0</v>
      </c>
      <c r="AC41" s="139">
        <f t="shared" si="48"/>
        <v>0</v>
      </c>
      <c r="AD41" s="126">
        <f>'Солар Вест'!AD41+Будник!AD41</f>
        <v>0</v>
      </c>
      <c r="AE41" s="126">
        <f>'Солар Вест'!AE41+Будник!AE41</f>
        <v>0</v>
      </c>
      <c r="AF41" s="146">
        <f t="shared" si="49"/>
        <v>0</v>
      </c>
      <c r="AG41" s="123">
        <f>'[5]ПП ВДГ'!AG41+'[5]Корсак Л.Р.'!AG41+'[5]Корсак В.І.'!AG41+[5]Конякіна!AG41</f>
        <v>0</v>
      </c>
      <c r="AH41" s="123">
        <f>'[5]ПП ВДГ'!AH41+'[5]Корсак Л.Р.'!AH41+'[5]Корсак В.І.'!AH41+[5]Конякіна!AH41</f>
        <v>0</v>
      </c>
      <c r="AI41" s="139">
        <f t="shared" si="50"/>
        <v>0</v>
      </c>
      <c r="AJ41" s="126">
        <f>'Солар Вест'!AJ41+Будник!AJ41</f>
        <v>0</v>
      </c>
      <c r="AK41" s="126">
        <f>'Солар Вест'!AK41+Будник!AK41</f>
        <v>0</v>
      </c>
      <c r="AL41" s="146">
        <f t="shared" si="51"/>
        <v>0</v>
      </c>
      <c r="AM41" s="123">
        <f>'[5]ПП ВДГ'!AM41+'[5]Корсак Л.Р.'!AM41+'[5]Корсак В.І.'!AM41+[5]Конякіна!AM41</f>
        <v>0</v>
      </c>
      <c r="AN41" s="123">
        <f>'[5]ПП ВДГ'!AN41+'[5]Корсак Л.Р.'!AN41+'[5]Корсак В.І.'!AN41+[5]Конякіна!AN41</f>
        <v>0</v>
      </c>
      <c r="AO41" s="139">
        <f t="shared" si="52"/>
        <v>0</v>
      </c>
      <c r="AP41" s="126">
        <f>'Солар Вест'!AP41+Будник!AP41</f>
        <v>0</v>
      </c>
      <c r="AQ41" s="126">
        <f>'Солар Вест'!AQ41+Будник!AQ41</f>
        <v>0</v>
      </c>
      <c r="AR41" s="146">
        <f t="shared" si="53"/>
        <v>0</v>
      </c>
      <c r="AS41" s="123">
        <f>'[5]ПП ВДГ'!AS41+'[5]Корсак Л.Р.'!AS41+'[5]Корсак В.І.'!AS41+[5]Конякіна!AS41</f>
        <v>0</v>
      </c>
      <c r="AT41" s="123">
        <f>'[5]ПП ВДГ'!AT41+'[5]Корсак Л.Р.'!AT41+'[5]Корсак В.І.'!AT41+[5]Конякіна!AT41</f>
        <v>0</v>
      </c>
      <c r="AU41" s="139">
        <f t="shared" si="54"/>
        <v>0</v>
      </c>
      <c r="AV41" s="126">
        <f>'Солар Вест'!AV41+Будник!AV41</f>
        <v>0</v>
      </c>
      <c r="AW41" s="126">
        <f>'Солар Вест'!AW41+Будник!AW41</f>
        <v>0</v>
      </c>
      <c r="AX41" s="146">
        <f t="shared" si="55"/>
        <v>0</v>
      </c>
      <c r="AY41" s="123">
        <f>'[5]ПП ВДГ'!AY41+'[5]Корсак Л.Р.'!AY41+'[5]Корсак В.І.'!AY41+[5]Конякіна!AY41</f>
        <v>0</v>
      </c>
      <c r="AZ41" s="123">
        <f>'[5]ПП ВДГ'!AZ41+'[5]Корсак Л.Р.'!AZ41+'[5]Корсак В.І.'!AZ41+[5]Конякіна!AZ41</f>
        <v>0</v>
      </c>
      <c r="BA41" s="139">
        <f t="shared" si="56"/>
        <v>0</v>
      </c>
      <c r="BB41" s="126">
        <f>'Солар Вест'!BB41+Будник!BB41</f>
        <v>0</v>
      </c>
      <c r="BC41" s="126">
        <f>'Солар Вест'!BC41+Будник!BC41</f>
        <v>0</v>
      </c>
      <c r="BD41" s="146">
        <f t="shared" si="57"/>
        <v>0</v>
      </c>
      <c r="BE41" s="126">
        <f>'Солар Вест'!BE41+Будник!BE41</f>
        <v>0</v>
      </c>
      <c r="BF41" s="126">
        <f>'Солар Вест'!BF41+Будник!BF41</f>
        <v>0</v>
      </c>
      <c r="BG41" s="139">
        <f t="shared" si="58"/>
        <v>0</v>
      </c>
      <c r="BH41" s="126">
        <f>'Солар Вест'!BH41+Будник!BH41</f>
        <v>0</v>
      </c>
      <c r="BI41" s="126">
        <f>'Солар Вест'!BI41+Будник!BI41</f>
        <v>0</v>
      </c>
      <c r="BJ41" s="146">
        <f t="shared" si="59"/>
        <v>0</v>
      </c>
      <c r="BK41" s="123">
        <f>'[5]ПП ВДГ'!BK41+'[5]Корсак Л.Р.'!BK41+'[5]Корсак В.І.'!BK41+[5]Конякіна!BK41</f>
        <v>0</v>
      </c>
      <c r="BL41" s="123">
        <f>'[5]ПП ВДГ'!BL41+'[5]Корсак Л.Р.'!BL41+'[5]Корсак В.І.'!BL41+[5]Конякіна!BL41</f>
        <v>0</v>
      </c>
      <c r="BM41" s="139">
        <f t="shared" si="60"/>
        <v>0</v>
      </c>
      <c r="BN41" s="126">
        <f>'Солар Вест'!BN41+Будник!BN41</f>
        <v>0</v>
      </c>
      <c r="BO41" s="126">
        <f>'Солар Вест'!BO41+Будник!BO41</f>
        <v>0</v>
      </c>
      <c r="BP41" s="146">
        <f t="shared" si="61"/>
        <v>0</v>
      </c>
      <c r="BQ41" s="123">
        <f>'[5]ПП ВДГ'!BQ41+'[5]Корсак Л.Р.'!BQ41+'[5]Корсак В.І.'!BQ41+[5]Конякіна!BQ41</f>
        <v>0</v>
      </c>
      <c r="BR41" s="123">
        <f>'[5]ПП ВДГ'!BR41+'[5]Корсак Л.Р.'!BR41+'[5]Корсак В.І.'!BR41+[5]Конякіна!BR41</f>
        <v>0</v>
      </c>
      <c r="BS41" s="139">
        <f t="shared" si="62"/>
        <v>0</v>
      </c>
      <c r="BT41" s="126">
        <f>'Солар Вест'!BT41+Будник!BT41</f>
        <v>0</v>
      </c>
      <c r="BU41" s="126">
        <f>'Солар Вест'!BU41+Будник!BU41</f>
        <v>0</v>
      </c>
      <c r="BV41" s="146">
        <f t="shared" si="63"/>
        <v>0</v>
      </c>
      <c r="BW41" s="123">
        <f t="shared" si="64"/>
        <v>10000</v>
      </c>
      <c r="BX41" s="123">
        <f t="shared" si="64"/>
        <v>0</v>
      </c>
      <c r="BY41" s="139">
        <f t="shared" si="65"/>
        <v>10000</v>
      </c>
      <c r="BZ41" s="123">
        <f t="shared" si="66"/>
        <v>0</v>
      </c>
      <c r="CA41" s="123">
        <f t="shared" si="66"/>
        <v>0</v>
      </c>
      <c r="CB41" s="146">
        <f t="shared" si="67"/>
        <v>0</v>
      </c>
    </row>
    <row r="42" spans="1:80" ht="24" outlineLevel="1" x14ac:dyDescent="0.2">
      <c r="A42" s="144" t="s">
        <v>96</v>
      </c>
      <c r="B42" s="145" t="s">
        <v>61</v>
      </c>
      <c r="C42" s="123">
        <f>'[5]ПП ВДГ'!C42+'[5]Корсак Л.Р.'!C42+'[5]Корсак В.І.'!C42+[5]Конякіна!C42</f>
        <v>0</v>
      </c>
      <c r="D42" s="123">
        <f>'[5]ПП ВДГ'!D42+'[5]Корсак Л.Р.'!D42+'[5]Корсак В.І.'!D42+[5]Конякіна!D42</f>
        <v>0</v>
      </c>
      <c r="E42" s="139">
        <f t="shared" si="40"/>
        <v>0</v>
      </c>
      <c r="F42" s="126">
        <f>'Солар Вест'!F42+Будник!F42</f>
        <v>0</v>
      </c>
      <c r="G42" s="126">
        <f>'Солар Вест'!G42+Будник!G42</f>
        <v>0</v>
      </c>
      <c r="H42" s="146">
        <f t="shared" si="41"/>
        <v>0</v>
      </c>
      <c r="I42" s="123">
        <f>'[5]ПП ВДГ'!I42+'[5]Корсак Л.Р.'!I42+'[5]Корсак В.І.'!I42+[5]Конякіна!I42</f>
        <v>0</v>
      </c>
      <c r="J42" s="123">
        <f>'[5]ПП ВДГ'!J42+'[5]Корсак Л.Р.'!J42+'[5]Корсак В.І.'!J42+[5]Конякіна!J42</f>
        <v>0</v>
      </c>
      <c r="K42" s="139">
        <f t="shared" si="42"/>
        <v>0</v>
      </c>
      <c r="L42" s="126">
        <f>'Солар Вест'!L42+Будник!L42</f>
        <v>0</v>
      </c>
      <c r="M42" s="126">
        <f>'Солар Вест'!M42+Будник!M42</f>
        <v>0</v>
      </c>
      <c r="N42" s="146">
        <f t="shared" si="43"/>
        <v>0</v>
      </c>
      <c r="O42" s="123">
        <f>'[5]ПП ВДГ'!O42+'[5]Корсак Л.Р.'!O42+'[5]Корсак В.І.'!O42+[5]Конякіна!O42</f>
        <v>0</v>
      </c>
      <c r="P42" s="123">
        <f>'[5]ПП ВДГ'!P42+'[5]Корсак Л.Р.'!P42+'[5]Корсак В.І.'!P42+[5]Конякіна!P42</f>
        <v>0</v>
      </c>
      <c r="Q42" s="139">
        <f t="shared" si="44"/>
        <v>0</v>
      </c>
      <c r="R42" s="126">
        <f>'Солар Вест'!R42+Будник!R42</f>
        <v>0</v>
      </c>
      <c r="S42" s="126">
        <f>'Солар Вест'!S42+Будник!S42</f>
        <v>0</v>
      </c>
      <c r="T42" s="146">
        <f t="shared" si="45"/>
        <v>0</v>
      </c>
      <c r="U42" s="123">
        <f>'[5]ПП ВДГ'!U42+'[5]Корсак Л.Р.'!U42+'[5]Корсак В.І.'!U42+[5]Конякіна!U42</f>
        <v>2210</v>
      </c>
      <c r="V42" s="123">
        <f>'[5]ПП ВДГ'!V42+'[5]Корсак Л.Р.'!V42+'[5]Корсак В.І.'!V42+[5]Конякіна!V42</f>
        <v>0</v>
      </c>
      <c r="W42" s="139">
        <f t="shared" si="46"/>
        <v>2210</v>
      </c>
      <c r="X42" s="126">
        <f>'Солар Вест'!X42+Будник!X42</f>
        <v>0</v>
      </c>
      <c r="Y42" s="126">
        <f>'Солар Вест'!Y42+Будник!Y42</f>
        <v>0</v>
      </c>
      <c r="Z42" s="146">
        <f t="shared" si="47"/>
        <v>0</v>
      </c>
      <c r="AA42" s="123">
        <f>'[5]ПП ВДГ'!AA42+'[5]Корсак Л.Р.'!AA42+'[5]Корсак В.І.'!AA42+[5]Конякіна!AA42</f>
        <v>2596</v>
      </c>
      <c r="AB42" s="123">
        <f>'[5]ПП ВДГ'!AB42+'[5]Корсак Л.Р.'!AB42+'[5]Корсак В.І.'!AB42+[5]Конякіна!AB42</f>
        <v>0</v>
      </c>
      <c r="AC42" s="139">
        <f t="shared" si="48"/>
        <v>2596</v>
      </c>
      <c r="AD42" s="126">
        <f>'Солар Вест'!AD42+Будник!AD42</f>
        <v>0</v>
      </c>
      <c r="AE42" s="126">
        <f>'Солар Вест'!AE42+Будник!AE42</f>
        <v>0</v>
      </c>
      <c r="AF42" s="146">
        <f t="shared" si="49"/>
        <v>0</v>
      </c>
      <c r="AG42" s="123">
        <f>'[5]ПП ВДГ'!AG42+'[5]Корсак Л.Р.'!AG42+'[5]Корсак В.І.'!AG42+[5]Конякіна!AG42</f>
        <v>2554</v>
      </c>
      <c r="AH42" s="123">
        <f>'[5]ПП ВДГ'!AH42+'[5]Корсак Л.Р.'!AH42+'[5]Корсак В.І.'!AH42+[5]Конякіна!AH42</f>
        <v>0</v>
      </c>
      <c r="AI42" s="139">
        <f t="shared" si="50"/>
        <v>2554</v>
      </c>
      <c r="AJ42" s="126">
        <f>'Солар Вест'!AJ42+Будник!AJ42</f>
        <v>0</v>
      </c>
      <c r="AK42" s="126">
        <f>'Солар Вест'!AK42+Будник!AK42</f>
        <v>0</v>
      </c>
      <c r="AL42" s="146">
        <f t="shared" si="51"/>
        <v>0</v>
      </c>
      <c r="AM42" s="123">
        <f>'[5]ПП ВДГ'!AM42+'[5]Корсак Л.Р.'!AM42+'[5]Корсак В.І.'!AM42+[5]Конякіна!AM42</f>
        <v>2514</v>
      </c>
      <c r="AN42" s="123">
        <f>'[5]ПП ВДГ'!AN42+'[5]Корсак Л.Р.'!AN42+'[5]Корсак В.І.'!AN42+[5]Конякіна!AN42</f>
        <v>0</v>
      </c>
      <c r="AO42" s="139">
        <f t="shared" si="52"/>
        <v>2514</v>
      </c>
      <c r="AP42" s="126">
        <f>'Солар Вест'!AP42+Будник!AP42</f>
        <v>0</v>
      </c>
      <c r="AQ42" s="126">
        <f>'Солар Вест'!AQ42+Будник!AQ42</f>
        <v>0</v>
      </c>
      <c r="AR42" s="146">
        <f t="shared" si="53"/>
        <v>0</v>
      </c>
      <c r="AS42" s="123">
        <f>'[5]ПП ВДГ'!AS42+'[5]Корсак Л.Р.'!AS42+'[5]Корсак В.І.'!AS42+[5]Конякіна!AS42</f>
        <v>2475</v>
      </c>
      <c r="AT42" s="123">
        <f>'[5]ПП ВДГ'!AT42+'[5]Корсак Л.Р.'!AT42+'[5]Корсак В.І.'!AT42+[5]Конякіна!AT42</f>
        <v>0</v>
      </c>
      <c r="AU42" s="139">
        <f t="shared" si="54"/>
        <v>2475</v>
      </c>
      <c r="AV42" s="126">
        <f>'Солар Вест'!AV42+Будник!AV42</f>
        <v>0</v>
      </c>
      <c r="AW42" s="126">
        <f>'Солар Вест'!AW42+Будник!AW42</f>
        <v>0</v>
      </c>
      <c r="AX42" s="146">
        <f t="shared" si="55"/>
        <v>0</v>
      </c>
      <c r="AY42" s="123">
        <f>'[5]ПП ВДГ'!AY42+'[5]Корсак Л.Р.'!AY42+'[5]Корсак В.І.'!AY42+[5]Конякіна!AY42</f>
        <v>0</v>
      </c>
      <c r="AZ42" s="123">
        <f>'[5]ПП ВДГ'!AZ42+'[5]Корсак Л.Р.'!AZ42+'[5]Корсак В.І.'!AZ42+[5]Конякіна!AZ42</f>
        <v>0</v>
      </c>
      <c r="BA42" s="139">
        <f t="shared" si="56"/>
        <v>0</v>
      </c>
      <c r="BB42" s="126">
        <f>'Солар Вест'!BB42+Будник!BB42</f>
        <v>0</v>
      </c>
      <c r="BC42" s="126">
        <f>'Солар Вест'!BC42+Будник!BC42</f>
        <v>0</v>
      </c>
      <c r="BD42" s="146">
        <f t="shared" si="57"/>
        <v>0</v>
      </c>
      <c r="BE42" s="126">
        <f>'Солар Вест'!BE42+Будник!BE42</f>
        <v>0</v>
      </c>
      <c r="BF42" s="126">
        <f>'Солар Вест'!BF42+Будник!BF42</f>
        <v>0</v>
      </c>
      <c r="BG42" s="139">
        <f t="shared" si="58"/>
        <v>0</v>
      </c>
      <c r="BH42" s="126">
        <f>'Солар Вест'!BH42+Будник!BH42</f>
        <v>0</v>
      </c>
      <c r="BI42" s="126">
        <f>'Солар Вест'!BI42+Будник!BI42</f>
        <v>0</v>
      </c>
      <c r="BJ42" s="146">
        <f t="shared" si="59"/>
        <v>0</v>
      </c>
      <c r="BK42" s="123">
        <f>'[5]ПП ВДГ'!BK42+'[5]Корсак Л.Р.'!BK42+'[5]Корсак В.І.'!BK42+[5]Конякіна!BK42</f>
        <v>2366</v>
      </c>
      <c r="BL42" s="123">
        <f>'[5]ПП ВДГ'!BL42+'[5]Корсак Л.Р.'!BL42+'[5]Корсак В.І.'!BL42+[5]Конякіна!BL42</f>
        <v>0</v>
      </c>
      <c r="BM42" s="139">
        <f t="shared" si="60"/>
        <v>2366</v>
      </c>
      <c r="BN42" s="126">
        <f>'Солар Вест'!BN42+Будник!BN42</f>
        <v>0</v>
      </c>
      <c r="BO42" s="126">
        <f>'Солар Вест'!BO42+Будник!BO42</f>
        <v>0</v>
      </c>
      <c r="BP42" s="146">
        <f t="shared" si="61"/>
        <v>0</v>
      </c>
      <c r="BQ42" s="123">
        <f>'[5]ПП ВДГ'!BQ42+'[5]Корсак Л.Р.'!BQ42+'[5]Корсак В.І.'!BQ42+[5]Конякіна!BQ42</f>
        <v>2332</v>
      </c>
      <c r="BR42" s="123">
        <f>'[5]ПП ВДГ'!BR42+'[5]Корсак Л.Р.'!BR42+'[5]Корсак В.І.'!BR42+[5]Конякіна!BR42</f>
        <v>0</v>
      </c>
      <c r="BS42" s="139">
        <f t="shared" si="62"/>
        <v>2332</v>
      </c>
      <c r="BT42" s="126">
        <f>'Солар Вест'!BT42+Будник!BT42</f>
        <v>0</v>
      </c>
      <c r="BU42" s="126">
        <f>'Солар Вест'!BU42+Будник!BU42</f>
        <v>0</v>
      </c>
      <c r="BV42" s="146">
        <f t="shared" si="63"/>
        <v>0</v>
      </c>
      <c r="BW42" s="123">
        <f t="shared" si="64"/>
        <v>17047</v>
      </c>
      <c r="BX42" s="123">
        <f t="shared" si="64"/>
        <v>0</v>
      </c>
      <c r="BY42" s="139">
        <f t="shared" si="65"/>
        <v>17047</v>
      </c>
      <c r="BZ42" s="123">
        <f t="shared" si="66"/>
        <v>0</v>
      </c>
      <c r="CA42" s="123">
        <f t="shared" si="66"/>
        <v>0</v>
      </c>
      <c r="CB42" s="146">
        <f t="shared" si="67"/>
        <v>0</v>
      </c>
    </row>
    <row r="43" spans="1:80" x14ac:dyDescent="0.2">
      <c r="A43" s="121">
        <v>125</v>
      </c>
      <c r="B43" s="143" t="s">
        <v>62</v>
      </c>
      <c r="C43" s="123">
        <f>'[5]ПП ВДГ'!C43+'[5]Корсак Л.Р.'!C43+'[5]Корсак В.І.'!C43+[5]Конякіна!C43</f>
        <v>0</v>
      </c>
      <c r="D43" s="123">
        <f>'[5]ПП ВДГ'!D43+'[5]Корсак Л.Р.'!D43+'[5]Корсак В.І.'!D43+[5]Конякіна!D43</f>
        <v>0</v>
      </c>
      <c r="E43" s="139">
        <f t="shared" si="40"/>
        <v>0</v>
      </c>
      <c r="F43" s="128">
        <f>'Солар Вест'!F43+Будник!F43</f>
        <v>0</v>
      </c>
      <c r="G43" s="128">
        <f>'Солар Вест'!G43+Будник!G43</f>
        <v>0</v>
      </c>
      <c r="H43" s="146">
        <f t="shared" si="41"/>
        <v>0</v>
      </c>
      <c r="I43" s="123">
        <f>'[5]ПП ВДГ'!I43+'[5]Корсак Л.Р.'!I43+'[5]Корсак В.І.'!I43+[5]Конякіна!I43</f>
        <v>0</v>
      </c>
      <c r="J43" s="123">
        <f>'[5]ПП ВДГ'!J43+'[5]Корсак Л.Р.'!J43+'[5]Корсак В.І.'!J43+[5]Конякіна!J43</f>
        <v>0</v>
      </c>
      <c r="K43" s="139">
        <f t="shared" si="42"/>
        <v>0</v>
      </c>
      <c r="L43" s="128">
        <f>'Солар Вест'!L43+Будник!L43</f>
        <v>0</v>
      </c>
      <c r="M43" s="128">
        <f>'Солар Вест'!M43+Будник!M43</f>
        <v>0</v>
      </c>
      <c r="N43" s="146">
        <f t="shared" si="43"/>
        <v>0</v>
      </c>
      <c r="O43" s="123">
        <f>'[5]ПП ВДГ'!O43+'[5]Корсак Л.Р.'!O43+'[5]Корсак В.І.'!O43+[5]Конякіна!O43</f>
        <v>0</v>
      </c>
      <c r="P43" s="123">
        <f>'[5]ПП ВДГ'!P43+'[5]Корсак Л.Р.'!P43+'[5]Корсак В.І.'!P43+[5]Конякіна!P43</f>
        <v>0</v>
      </c>
      <c r="Q43" s="139">
        <f t="shared" si="44"/>
        <v>0</v>
      </c>
      <c r="R43" s="128">
        <f>'Солар Вест'!R43+Будник!R43</f>
        <v>0</v>
      </c>
      <c r="S43" s="128">
        <f>'Солар Вест'!S43+Будник!S43</f>
        <v>0</v>
      </c>
      <c r="T43" s="146">
        <f t="shared" si="45"/>
        <v>0</v>
      </c>
      <c r="U43" s="123">
        <f>'[5]ПП ВДГ'!U43+'[5]Корсак Л.Р.'!U43+'[5]Корсак В.І.'!U43+[5]Конякіна!U43</f>
        <v>0</v>
      </c>
      <c r="V43" s="123">
        <f>'[5]ПП ВДГ'!V43+'[5]Корсак Л.Р.'!V43+'[5]Корсак В.І.'!V43+[5]Конякіна!V43</f>
        <v>0</v>
      </c>
      <c r="W43" s="139">
        <f t="shared" si="46"/>
        <v>0</v>
      </c>
      <c r="X43" s="128">
        <f>'Солар Вест'!X43+Будник!X43</f>
        <v>0</v>
      </c>
      <c r="Y43" s="128">
        <f>'Солар Вест'!Y43+Будник!Y43</f>
        <v>0</v>
      </c>
      <c r="Z43" s="146">
        <f t="shared" si="47"/>
        <v>0</v>
      </c>
      <c r="AA43" s="123">
        <f>'[5]ПП ВДГ'!AA43+'[5]Корсак Л.Р.'!AA43+'[5]Корсак В.І.'!AA43+[5]Конякіна!AA43</f>
        <v>0</v>
      </c>
      <c r="AB43" s="123">
        <f>'[5]ПП ВДГ'!AB43+'[5]Корсак Л.Р.'!AB43+'[5]Корсак В.І.'!AB43+[5]Конякіна!AB43</f>
        <v>0</v>
      </c>
      <c r="AC43" s="139">
        <f t="shared" si="48"/>
        <v>0</v>
      </c>
      <c r="AD43" s="128">
        <f>'Солар Вест'!AD43+Будник!AD43</f>
        <v>0</v>
      </c>
      <c r="AE43" s="128">
        <f>'Солар Вест'!AE43+Будник!AE43</f>
        <v>0</v>
      </c>
      <c r="AF43" s="146">
        <f t="shared" si="49"/>
        <v>0</v>
      </c>
      <c r="AG43" s="123">
        <f>'[5]ПП ВДГ'!AG43+'[5]Корсак Л.Р.'!AG43+'[5]Корсак В.І.'!AG43+[5]Конякіна!AG43</f>
        <v>0</v>
      </c>
      <c r="AH43" s="123">
        <f>'[5]ПП ВДГ'!AH43+'[5]Корсак Л.Р.'!AH43+'[5]Корсак В.І.'!AH43+[5]Конякіна!AH43</f>
        <v>0</v>
      </c>
      <c r="AI43" s="139">
        <f t="shared" si="50"/>
        <v>0</v>
      </c>
      <c r="AJ43" s="128">
        <f>'Солар Вест'!AJ43+Будник!AJ43</f>
        <v>0</v>
      </c>
      <c r="AK43" s="128">
        <f>'Солар Вест'!AK43+Будник!AK43</f>
        <v>0</v>
      </c>
      <c r="AL43" s="146">
        <f t="shared" si="51"/>
        <v>0</v>
      </c>
      <c r="AM43" s="123">
        <f>'[5]ПП ВДГ'!AM43+'[5]Корсак Л.Р.'!AM43+'[5]Корсак В.І.'!AM43+[5]Конякіна!AM43</f>
        <v>0</v>
      </c>
      <c r="AN43" s="123">
        <f>'[5]ПП ВДГ'!AN43+'[5]Корсак Л.Р.'!AN43+'[5]Корсак В.І.'!AN43+[5]Конякіна!AN43</f>
        <v>0</v>
      </c>
      <c r="AO43" s="139">
        <f t="shared" si="52"/>
        <v>0</v>
      </c>
      <c r="AP43" s="128">
        <f>'Солар Вест'!AP43+Будник!AP43</f>
        <v>0</v>
      </c>
      <c r="AQ43" s="128">
        <f>'Солар Вест'!AQ43+Будник!AQ43</f>
        <v>0</v>
      </c>
      <c r="AR43" s="146">
        <f t="shared" si="53"/>
        <v>0</v>
      </c>
      <c r="AS43" s="123">
        <f>'[5]ПП ВДГ'!AS43+'[5]Корсак Л.Р.'!AS43+'[5]Корсак В.І.'!AS43+[5]Конякіна!AS43</f>
        <v>0</v>
      </c>
      <c r="AT43" s="123">
        <f>'[5]ПП ВДГ'!AT43+'[5]Корсак Л.Р.'!AT43+'[5]Корсак В.І.'!AT43+[5]Конякіна!AT43</f>
        <v>0</v>
      </c>
      <c r="AU43" s="139">
        <f t="shared" si="54"/>
        <v>0</v>
      </c>
      <c r="AV43" s="128">
        <f>'Солар Вест'!AV43+Будник!AV43</f>
        <v>0</v>
      </c>
      <c r="AW43" s="128">
        <f>'Солар Вест'!AW43+Будник!AW43</f>
        <v>0</v>
      </c>
      <c r="AX43" s="146">
        <f t="shared" si="55"/>
        <v>0</v>
      </c>
      <c r="AY43" s="123">
        <f>'[5]ПП ВДГ'!AY43+'[5]Корсак Л.Р.'!AY43+'[5]Корсак В.І.'!AY43+[5]Конякіна!AY43</f>
        <v>0</v>
      </c>
      <c r="AZ43" s="123">
        <f>'[5]ПП ВДГ'!AZ43+'[5]Корсак Л.Р.'!AZ43+'[5]Корсак В.І.'!AZ43+[5]Конякіна!AZ43</f>
        <v>0</v>
      </c>
      <c r="BA43" s="139">
        <f t="shared" si="56"/>
        <v>0</v>
      </c>
      <c r="BB43" s="128">
        <f>'Солар Вест'!BB43+Будник!BB43</f>
        <v>0</v>
      </c>
      <c r="BC43" s="128">
        <f>'Солар Вест'!BC43+Будник!BC43</f>
        <v>0</v>
      </c>
      <c r="BD43" s="146">
        <f t="shared" si="57"/>
        <v>0</v>
      </c>
      <c r="BE43" s="128">
        <f>'Солар Вест'!BE43+Будник!BE43</f>
        <v>0</v>
      </c>
      <c r="BF43" s="128">
        <f>'Солар Вест'!BF43+Будник!BF43</f>
        <v>0</v>
      </c>
      <c r="BG43" s="139">
        <f t="shared" si="58"/>
        <v>0</v>
      </c>
      <c r="BH43" s="128">
        <f>'Солар Вест'!BH43+Будник!BH43</f>
        <v>0</v>
      </c>
      <c r="BI43" s="128">
        <f>'Солар Вест'!BI43+Будник!BI43</f>
        <v>0</v>
      </c>
      <c r="BJ43" s="146">
        <f t="shared" si="59"/>
        <v>0</v>
      </c>
      <c r="BK43" s="123">
        <f>'[5]ПП ВДГ'!BK43+'[5]Корсак Л.Р.'!BK43+'[5]Корсак В.І.'!BK43+[5]Конякіна!BK43</f>
        <v>0</v>
      </c>
      <c r="BL43" s="123">
        <f>'[5]ПП ВДГ'!BL43+'[5]Корсак Л.Р.'!BL43+'[5]Корсак В.І.'!BL43+[5]Конякіна!BL43</f>
        <v>0</v>
      </c>
      <c r="BM43" s="139">
        <f t="shared" si="60"/>
        <v>0</v>
      </c>
      <c r="BN43" s="128">
        <f>'Солар Вест'!BN43+Будник!BN43</f>
        <v>0</v>
      </c>
      <c r="BO43" s="128">
        <f>'Солар Вест'!BO43+Будник!BO43</f>
        <v>0</v>
      </c>
      <c r="BP43" s="146">
        <f t="shared" si="61"/>
        <v>0</v>
      </c>
      <c r="BQ43" s="123">
        <f>'[5]ПП ВДГ'!BQ43+'[5]Корсак Л.Р.'!BQ43+'[5]Корсак В.І.'!BQ43+[5]Конякіна!BQ43</f>
        <v>0</v>
      </c>
      <c r="BR43" s="123">
        <f>'[5]ПП ВДГ'!BR43+'[5]Корсак Л.Р.'!BR43+'[5]Корсак В.І.'!BR43+[5]Конякіна!BR43</f>
        <v>0</v>
      </c>
      <c r="BS43" s="139">
        <f t="shared" si="62"/>
        <v>0</v>
      </c>
      <c r="BT43" s="128">
        <f>'Солар Вест'!BT43+Будник!BT43</f>
        <v>0</v>
      </c>
      <c r="BU43" s="128">
        <f>'Солар Вест'!BU43+Будник!BU43</f>
        <v>0</v>
      </c>
      <c r="BV43" s="146">
        <f t="shared" si="63"/>
        <v>0</v>
      </c>
      <c r="BW43" s="123">
        <f t="shared" si="64"/>
        <v>0</v>
      </c>
      <c r="BX43" s="123">
        <f t="shared" si="64"/>
        <v>0</v>
      </c>
      <c r="BY43" s="139">
        <f t="shared" si="65"/>
        <v>0</v>
      </c>
      <c r="BZ43" s="123">
        <f t="shared" si="66"/>
        <v>0</v>
      </c>
      <c r="CA43" s="123">
        <f t="shared" si="66"/>
        <v>0</v>
      </c>
      <c r="CB43" s="146">
        <f t="shared" si="67"/>
        <v>0</v>
      </c>
    </row>
    <row r="44" spans="1:80" x14ac:dyDescent="0.2">
      <c r="A44" s="121">
        <v>126</v>
      </c>
      <c r="B44" s="147" t="s">
        <v>63</v>
      </c>
      <c r="C44" s="123">
        <f>'[5]ПП ВДГ'!C44+'[5]Корсак Л.Р.'!C44+'[5]Корсак В.І.'!C44+[5]Конякіна!C44</f>
        <v>9400</v>
      </c>
      <c r="D44" s="123">
        <f>'[5]ПП ВДГ'!D44+'[5]Корсак Л.Р.'!D44+'[5]Корсак В.І.'!D44+[5]Конякіна!D44</f>
        <v>0</v>
      </c>
      <c r="E44" s="148">
        <f t="shared" si="40"/>
        <v>9400</v>
      </c>
      <c r="F44" s="128">
        <f>'Солар Вест'!F44+Будник!F44</f>
        <v>0</v>
      </c>
      <c r="G44" s="128">
        <f>'Солар Вест'!G44+Будник!G44</f>
        <v>0</v>
      </c>
      <c r="H44" s="146">
        <f t="shared" si="41"/>
        <v>0</v>
      </c>
      <c r="I44" s="123">
        <f>'[5]ПП ВДГ'!I44+'[5]Корсак Л.Р.'!I44+'[5]Корсак В.І.'!I44+[5]Конякіна!I44</f>
        <v>9100</v>
      </c>
      <c r="J44" s="123">
        <f>'[5]ПП ВДГ'!J44+'[5]Корсак Л.Р.'!J44+'[5]Корсак В.І.'!J44+[5]Конякіна!J44</f>
        <v>0</v>
      </c>
      <c r="K44" s="148">
        <f t="shared" si="42"/>
        <v>9100</v>
      </c>
      <c r="L44" s="128">
        <f>'Солар Вест'!L44+Будник!L44</f>
        <v>0</v>
      </c>
      <c r="M44" s="128">
        <f>'Солар Вест'!M44+Будник!M44</f>
        <v>0</v>
      </c>
      <c r="N44" s="146">
        <f t="shared" si="43"/>
        <v>0</v>
      </c>
      <c r="O44" s="123">
        <f>'[5]ПП ВДГ'!O44+'[5]Корсак Л.Р.'!O44+'[5]Корсак В.І.'!O44+[5]Конякіна!O44</f>
        <v>8800</v>
      </c>
      <c r="P44" s="123">
        <f>'[5]ПП ВДГ'!P44+'[5]Корсак Л.Р.'!P44+'[5]Корсак В.І.'!P44+[5]Конякіна!P44</f>
        <v>0</v>
      </c>
      <c r="Q44" s="148">
        <f t="shared" si="44"/>
        <v>8800</v>
      </c>
      <c r="R44" s="128">
        <f>'Солар Вест'!R44+Будник!R44</f>
        <v>0</v>
      </c>
      <c r="S44" s="128">
        <f>'Солар Вест'!S44+Будник!S44</f>
        <v>0</v>
      </c>
      <c r="T44" s="146">
        <f t="shared" si="45"/>
        <v>0</v>
      </c>
      <c r="U44" s="123">
        <f>'[5]ПП ВДГ'!U44+'[5]Корсак Л.Р.'!U44+'[5]Корсак В.І.'!U44+[5]Конякіна!U44</f>
        <v>0</v>
      </c>
      <c r="V44" s="123">
        <f>'[5]ПП ВДГ'!V44+'[5]Корсак Л.Р.'!V44+'[5]Корсак В.І.'!V44+[5]Конякіна!V44</f>
        <v>0</v>
      </c>
      <c r="W44" s="148">
        <f t="shared" si="46"/>
        <v>0</v>
      </c>
      <c r="X44" s="128">
        <f>'Солар Вест'!X44+Будник!X44</f>
        <v>0</v>
      </c>
      <c r="Y44" s="128">
        <f>'Солар Вест'!Y44+Будник!Y44</f>
        <v>0</v>
      </c>
      <c r="Z44" s="146">
        <f t="shared" si="47"/>
        <v>0</v>
      </c>
      <c r="AA44" s="123">
        <f>'[5]ПП ВДГ'!AA44+'[5]Корсак Л.Р.'!AA44+'[5]Корсак В.І.'!AA44+[5]Конякіна!AA44</f>
        <v>0</v>
      </c>
      <c r="AB44" s="123">
        <f>'[5]ПП ВДГ'!AB44+'[5]Корсак Л.Р.'!AB44+'[5]Корсак В.І.'!AB44+[5]Конякіна!AB44</f>
        <v>0</v>
      </c>
      <c r="AC44" s="148">
        <f t="shared" si="48"/>
        <v>0</v>
      </c>
      <c r="AD44" s="128">
        <f>'Солар Вест'!AD44+Будник!AD44</f>
        <v>0</v>
      </c>
      <c r="AE44" s="128">
        <f>'Солар Вест'!AE44+Будник!AE44</f>
        <v>0</v>
      </c>
      <c r="AF44" s="146">
        <f t="shared" si="49"/>
        <v>0</v>
      </c>
      <c r="AG44" s="123">
        <f>'[5]ПП ВДГ'!AG44+'[5]Корсак Л.Р.'!AG44+'[5]Корсак В.І.'!AG44+[5]Конякіна!AG44</f>
        <v>0</v>
      </c>
      <c r="AH44" s="123">
        <f>'[5]ПП ВДГ'!AH44+'[5]Корсак Л.Р.'!AH44+'[5]Корсак В.І.'!AH44+[5]Конякіна!AH44</f>
        <v>0</v>
      </c>
      <c r="AI44" s="148">
        <f t="shared" si="50"/>
        <v>0</v>
      </c>
      <c r="AJ44" s="128">
        <f>'Солар Вест'!AJ44+Будник!AJ44</f>
        <v>0</v>
      </c>
      <c r="AK44" s="128">
        <f>'Солар Вест'!AK44+Будник!AK44</f>
        <v>0</v>
      </c>
      <c r="AL44" s="146">
        <f t="shared" si="51"/>
        <v>0</v>
      </c>
      <c r="AM44" s="123">
        <f>'[5]ПП ВДГ'!AM44+'[5]Корсак Л.Р.'!AM44+'[5]Корсак В.І.'!AM44+[5]Конякіна!AM44</f>
        <v>0</v>
      </c>
      <c r="AN44" s="123">
        <f>'[5]ПП ВДГ'!AN44+'[5]Корсак Л.Р.'!AN44+'[5]Корсак В.І.'!AN44+[5]Конякіна!AN44</f>
        <v>0</v>
      </c>
      <c r="AO44" s="148">
        <f t="shared" si="52"/>
        <v>0</v>
      </c>
      <c r="AP44" s="128">
        <f>'Солар Вест'!AP44+Будник!AP44</f>
        <v>0</v>
      </c>
      <c r="AQ44" s="128">
        <f>'Солар Вест'!AQ44+Будник!AQ44</f>
        <v>0</v>
      </c>
      <c r="AR44" s="146">
        <f t="shared" si="53"/>
        <v>0</v>
      </c>
      <c r="AS44" s="123">
        <f>'[5]ПП ВДГ'!AS44+'[5]Корсак Л.Р.'!AS44+'[5]Корсак В.І.'!AS44+[5]Конякіна!AS44</f>
        <v>0</v>
      </c>
      <c r="AT44" s="123">
        <f>'[5]ПП ВДГ'!AT44+'[5]Корсак Л.Р.'!AT44+'[5]Корсак В.І.'!AT44+[5]Конякіна!AT44</f>
        <v>0</v>
      </c>
      <c r="AU44" s="148">
        <f t="shared" si="54"/>
        <v>0</v>
      </c>
      <c r="AV44" s="128">
        <f>'Солар Вест'!AV44+Будник!AV44</f>
        <v>0</v>
      </c>
      <c r="AW44" s="128">
        <f>'Солар Вест'!AW44+Будник!AW44</f>
        <v>0</v>
      </c>
      <c r="AX44" s="146">
        <f t="shared" si="55"/>
        <v>0</v>
      </c>
      <c r="AY44" s="123">
        <f>'[5]ПП ВДГ'!AY44+'[5]Корсак Л.Р.'!AY44+'[5]Корсак В.І.'!AY44+[5]Конякіна!AY44</f>
        <v>7200</v>
      </c>
      <c r="AZ44" s="123">
        <f>'[5]ПП ВДГ'!AZ44+'[5]Корсак Л.Р.'!AZ44+'[5]Корсак В.І.'!AZ44+[5]Конякіна!AZ44</f>
        <v>0</v>
      </c>
      <c r="BA44" s="148">
        <f t="shared" si="56"/>
        <v>7200</v>
      </c>
      <c r="BB44" s="128">
        <f>'Солар Вест'!BB44+Будник!BB44</f>
        <v>0</v>
      </c>
      <c r="BC44" s="128">
        <f>'Солар Вест'!BC44+Будник!BC44</f>
        <v>0</v>
      </c>
      <c r="BD44" s="146">
        <f t="shared" si="57"/>
        <v>0</v>
      </c>
      <c r="BE44" s="128">
        <f>'Солар Вест'!BE44+Будник!BE44</f>
        <v>0</v>
      </c>
      <c r="BF44" s="128">
        <f>'Солар Вест'!BF44+Будник!BF44</f>
        <v>0</v>
      </c>
      <c r="BG44" s="148">
        <f t="shared" si="58"/>
        <v>0</v>
      </c>
      <c r="BH44" s="128">
        <f>'Солар Вест'!BH44+Будник!BH44</f>
        <v>0</v>
      </c>
      <c r="BI44" s="128">
        <f>'Солар Вест'!BI44+Будник!BI44</f>
        <v>0</v>
      </c>
      <c r="BJ44" s="146">
        <f t="shared" si="59"/>
        <v>0</v>
      </c>
      <c r="BK44" s="123">
        <f>'[5]ПП ВДГ'!BK44+'[5]Корсак Л.Р.'!BK44+'[5]Корсак В.І.'!BK44+[5]Конякіна!BK44</f>
        <v>0</v>
      </c>
      <c r="BL44" s="123">
        <f>'[5]ПП ВДГ'!BL44+'[5]Корсак Л.Р.'!BL44+'[5]Корсак В.І.'!BL44+[5]Конякіна!BL44</f>
        <v>0</v>
      </c>
      <c r="BM44" s="148">
        <f t="shared" si="60"/>
        <v>0</v>
      </c>
      <c r="BN44" s="128">
        <f>'Солар Вест'!BN44+Будник!BN44</f>
        <v>0</v>
      </c>
      <c r="BO44" s="128">
        <f>'Солар Вест'!BO44+Будник!BO44</f>
        <v>0</v>
      </c>
      <c r="BP44" s="146">
        <f t="shared" si="61"/>
        <v>0</v>
      </c>
      <c r="BQ44" s="123">
        <f>'[5]ПП ВДГ'!BQ44+'[5]Корсак Л.Р.'!BQ44+'[5]Корсак В.І.'!BQ44+[5]Конякіна!BQ44</f>
        <v>0</v>
      </c>
      <c r="BR44" s="123">
        <f>'[5]ПП ВДГ'!BR44+'[5]Корсак Л.Р.'!BR44+'[5]Корсак В.І.'!BR44+[5]Конякіна!BR44</f>
        <v>0</v>
      </c>
      <c r="BS44" s="148">
        <f t="shared" si="62"/>
        <v>0</v>
      </c>
      <c r="BT44" s="128">
        <f>'Солар Вест'!BT44+Будник!BT44</f>
        <v>0</v>
      </c>
      <c r="BU44" s="128">
        <f>'Солар Вест'!BU44+Будник!BU44</f>
        <v>0</v>
      </c>
      <c r="BV44" s="146">
        <f t="shared" si="63"/>
        <v>0</v>
      </c>
      <c r="BW44" s="123">
        <f t="shared" si="64"/>
        <v>34500</v>
      </c>
      <c r="BX44" s="123">
        <f t="shared" si="64"/>
        <v>0</v>
      </c>
      <c r="BY44" s="148">
        <f t="shared" si="65"/>
        <v>34500</v>
      </c>
      <c r="BZ44" s="123">
        <f t="shared" si="66"/>
        <v>0</v>
      </c>
      <c r="CA44" s="123">
        <f t="shared" si="66"/>
        <v>0</v>
      </c>
      <c r="CB44" s="146">
        <f t="shared" si="67"/>
        <v>0</v>
      </c>
    </row>
    <row r="45" spans="1:80" x14ac:dyDescent="0.2">
      <c r="A45" s="121">
        <v>127</v>
      </c>
      <c r="B45" s="130" t="s">
        <v>64</v>
      </c>
      <c r="C45" s="123">
        <f>'[5]ПП ВДГ'!C45+'[5]Корсак Л.Р.'!C45+'[5]Корсак В.І.'!C45+[5]Конякіна!C45</f>
        <v>70000</v>
      </c>
      <c r="D45" s="123">
        <f>'[5]ПП ВДГ'!D45+'[5]Корсак Л.Р.'!D45+'[5]Корсак В.І.'!D45+[5]Конякіна!D45</f>
        <v>5000</v>
      </c>
      <c r="E45" s="131">
        <f t="shared" si="40"/>
        <v>75000</v>
      </c>
      <c r="F45" s="128">
        <f>'Солар Вест'!F45+Будник!F45</f>
        <v>0</v>
      </c>
      <c r="G45" s="128">
        <f>'Солар Вест'!G45+Будник!G45</f>
        <v>0</v>
      </c>
      <c r="H45" s="146">
        <f t="shared" si="41"/>
        <v>0</v>
      </c>
      <c r="I45" s="123">
        <f>'[5]ПП ВДГ'!I45+'[5]Корсак Л.Р.'!I45+'[5]Корсак В.І.'!I45+[5]Конякіна!I45</f>
        <v>65000</v>
      </c>
      <c r="J45" s="123">
        <f>'[5]ПП ВДГ'!J45+'[5]Корсак Л.Р.'!J45+'[5]Корсак В.І.'!J45+[5]Конякіна!J45</f>
        <v>0</v>
      </c>
      <c r="K45" s="131">
        <f t="shared" si="42"/>
        <v>65000</v>
      </c>
      <c r="L45" s="128">
        <f>'Солар Вест'!L45+Будник!L45</f>
        <v>0</v>
      </c>
      <c r="M45" s="128">
        <f>'Солар Вест'!M45+Будник!M45</f>
        <v>0</v>
      </c>
      <c r="N45" s="146">
        <f t="shared" si="43"/>
        <v>0</v>
      </c>
      <c r="O45" s="123">
        <f>'[5]ПП ВДГ'!O45+'[5]Корсак Л.Р.'!O45+'[5]Корсак В.І.'!O45+[5]Конякіна!O45</f>
        <v>65000</v>
      </c>
      <c r="P45" s="123">
        <f>'[5]ПП ВДГ'!P45+'[5]Корсак Л.Р.'!P45+'[5]Корсак В.І.'!P45+[5]Конякіна!P45</f>
        <v>0</v>
      </c>
      <c r="Q45" s="131">
        <f t="shared" si="44"/>
        <v>65000</v>
      </c>
      <c r="R45" s="128">
        <f>'Солар Вест'!R45+Будник!R45</f>
        <v>0</v>
      </c>
      <c r="S45" s="128">
        <f>'Солар Вест'!S45+Будник!S45</f>
        <v>0</v>
      </c>
      <c r="T45" s="146">
        <f t="shared" si="45"/>
        <v>0</v>
      </c>
      <c r="U45" s="123">
        <f>'[5]ПП ВДГ'!U45+'[5]Корсак Л.Р.'!U45+'[5]Корсак В.І.'!U45+[5]Конякіна!U45</f>
        <v>80000</v>
      </c>
      <c r="V45" s="123">
        <f>'[5]ПП ВДГ'!V45+'[5]Корсак Л.Р.'!V45+'[5]Корсак В.І.'!V45+[5]Конякіна!V45</f>
        <v>0</v>
      </c>
      <c r="W45" s="131">
        <f t="shared" si="46"/>
        <v>80000</v>
      </c>
      <c r="X45" s="128">
        <f>'Солар Вест'!X45+Будник!X45</f>
        <v>0</v>
      </c>
      <c r="Y45" s="128">
        <f>'Солар Вест'!Y45+Будник!Y45</f>
        <v>0</v>
      </c>
      <c r="Z45" s="146">
        <f t="shared" si="47"/>
        <v>0</v>
      </c>
      <c r="AA45" s="123">
        <f>'[5]ПП ВДГ'!AA45+'[5]Корсак Л.Р.'!AA45+'[5]Корсак В.І.'!AA45+[5]Конякіна!AA45</f>
        <v>60000</v>
      </c>
      <c r="AB45" s="123">
        <f>'[5]ПП ВДГ'!AB45+'[5]Корсак Л.Р.'!AB45+'[5]Корсак В.І.'!AB45+[5]Конякіна!AB45</f>
        <v>0</v>
      </c>
      <c r="AC45" s="131">
        <f t="shared" si="48"/>
        <v>60000</v>
      </c>
      <c r="AD45" s="128">
        <f>'Солар Вест'!AD45+Будник!AD45</f>
        <v>0</v>
      </c>
      <c r="AE45" s="128">
        <f>'Солар Вест'!AE45+Будник!AE45</f>
        <v>0</v>
      </c>
      <c r="AF45" s="146">
        <f t="shared" si="49"/>
        <v>0</v>
      </c>
      <c r="AG45" s="123">
        <f>'[5]ПП ВДГ'!AG45+'[5]Корсак Л.Р.'!AG45+'[5]Корсак В.І.'!AG45+[5]Конякіна!AG45</f>
        <v>60000</v>
      </c>
      <c r="AH45" s="123">
        <f>'[5]ПП ВДГ'!AH45+'[5]Корсак Л.Р.'!AH45+'[5]Корсак В.І.'!AH45+[5]Конякіна!AH45</f>
        <v>0</v>
      </c>
      <c r="AI45" s="131">
        <f t="shared" si="50"/>
        <v>60000</v>
      </c>
      <c r="AJ45" s="128">
        <f>'Солар Вест'!AJ45+Будник!AJ45</f>
        <v>0</v>
      </c>
      <c r="AK45" s="128">
        <f>'Солар Вест'!AK45+Будник!AK45</f>
        <v>0</v>
      </c>
      <c r="AL45" s="146">
        <f t="shared" si="51"/>
        <v>0</v>
      </c>
      <c r="AM45" s="123">
        <f>'[5]ПП ВДГ'!AM45+'[5]Корсак Л.Р.'!AM45+'[5]Корсак В.І.'!AM45+[5]Конякіна!AM45</f>
        <v>60000</v>
      </c>
      <c r="AN45" s="123">
        <f>'[5]ПП ВДГ'!AN45+'[5]Корсак Л.Р.'!AN45+'[5]Корсак В.І.'!AN45+[5]Конякіна!AN45</f>
        <v>0</v>
      </c>
      <c r="AO45" s="131">
        <f t="shared" si="52"/>
        <v>60000</v>
      </c>
      <c r="AP45" s="128">
        <f>'Солар Вест'!AP45+Будник!AP45</f>
        <v>0</v>
      </c>
      <c r="AQ45" s="128">
        <f>'Солар Вест'!AQ45+Будник!AQ45</f>
        <v>0</v>
      </c>
      <c r="AR45" s="146">
        <f t="shared" si="53"/>
        <v>0</v>
      </c>
      <c r="AS45" s="123">
        <f>'[5]ПП ВДГ'!AS45+'[5]Корсак Л.Р.'!AS45+'[5]Корсак В.І.'!AS45+[5]Конякіна!AS45</f>
        <v>60000</v>
      </c>
      <c r="AT45" s="123">
        <f>'[5]ПП ВДГ'!AT45+'[5]Корсак Л.Р.'!AT45+'[5]Корсак В.І.'!AT45+[5]Конякіна!AT45</f>
        <v>0</v>
      </c>
      <c r="AU45" s="131">
        <f t="shared" si="54"/>
        <v>60000</v>
      </c>
      <c r="AV45" s="128">
        <f>'Солар Вест'!AV45+Будник!AV45</f>
        <v>0</v>
      </c>
      <c r="AW45" s="128">
        <f>'Солар Вест'!AW45+Будник!AW45</f>
        <v>0</v>
      </c>
      <c r="AX45" s="146">
        <f t="shared" si="55"/>
        <v>0</v>
      </c>
      <c r="AY45" s="123">
        <f>'[5]ПП ВДГ'!AY45+'[5]Корсак Л.Р.'!AY45+'[5]Корсак В.І.'!AY45+[5]Конякіна!AY45</f>
        <v>60000</v>
      </c>
      <c r="AZ45" s="123">
        <f>'[5]ПП ВДГ'!AZ45+'[5]Корсак Л.Р.'!AZ45+'[5]Корсак В.І.'!AZ45+[5]Конякіна!AZ45</f>
        <v>0</v>
      </c>
      <c r="BA45" s="131">
        <f t="shared" si="56"/>
        <v>60000</v>
      </c>
      <c r="BB45" s="128">
        <f>'Солар Вест'!BB45+Будник!BB45</f>
        <v>0</v>
      </c>
      <c r="BC45" s="128">
        <f>'Солар Вест'!BC45+Будник!BC45</f>
        <v>0</v>
      </c>
      <c r="BD45" s="146">
        <f t="shared" si="57"/>
        <v>0</v>
      </c>
      <c r="BE45" s="128">
        <f>'Солар Вест'!BE45+Будник!BE45</f>
        <v>0</v>
      </c>
      <c r="BF45" s="128">
        <f>'Солар Вест'!BF45+Будник!BF45</f>
        <v>0</v>
      </c>
      <c r="BG45" s="131">
        <f t="shared" si="58"/>
        <v>0</v>
      </c>
      <c r="BH45" s="128">
        <f>'Солар Вест'!BH45+Будник!BH45</f>
        <v>0</v>
      </c>
      <c r="BI45" s="128">
        <f>'Солар Вест'!BI45+Будник!BI45</f>
        <v>0</v>
      </c>
      <c r="BJ45" s="146">
        <f t="shared" si="59"/>
        <v>0</v>
      </c>
      <c r="BK45" s="123">
        <f>'[5]ПП ВДГ'!BK45+'[5]Корсак Л.Р.'!BK45+'[5]Корсак В.І.'!BK45+[5]Конякіна!BK45</f>
        <v>65000</v>
      </c>
      <c r="BL45" s="123">
        <f>'[5]ПП ВДГ'!BL45+'[5]Корсак Л.Р.'!BL45+'[5]Корсак В.І.'!BL45+[5]Конякіна!BL45</f>
        <v>5000</v>
      </c>
      <c r="BM45" s="131">
        <f t="shared" si="60"/>
        <v>70000</v>
      </c>
      <c r="BN45" s="128">
        <f>'Солар Вест'!BN45+Будник!BN45</f>
        <v>0</v>
      </c>
      <c r="BO45" s="128">
        <f>'Солар Вест'!BO45+Будник!BO45</f>
        <v>0</v>
      </c>
      <c r="BP45" s="146">
        <f t="shared" si="61"/>
        <v>0</v>
      </c>
      <c r="BQ45" s="123">
        <f>'[5]ПП ВДГ'!BQ45+'[5]Корсак Л.Р.'!BQ45+'[5]Корсак В.І.'!BQ45+[5]Конякіна!BQ45</f>
        <v>75000</v>
      </c>
      <c r="BR45" s="123">
        <f>'[5]ПП ВДГ'!BR45+'[5]Корсак Л.Р.'!BR45+'[5]Корсак В.І.'!BR45+[5]Конякіна!BR45</f>
        <v>5000</v>
      </c>
      <c r="BS45" s="131">
        <f t="shared" si="62"/>
        <v>80000</v>
      </c>
      <c r="BT45" s="128">
        <f>'Солар Вест'!BT45+Будник!BT45</f>
        <v>0</v>
      </c>
      <c r="BU45" s="128">
        <f>'Солар Вест'!BU45+Будник!BU45</f>
        <v>0</v>
      </c>
      <c r="BV45" s="146">
        <f t="shared" si="63"/>
        <v>0</v>
      </c>
      <c r="BW45" s="123">
        <f t="shared" si="64"/>
        <v>720000</v>
      </c>
      <c r="BX45" s="123">
        <f t="shared" si="64"/>
        <v>15000</v>
      </c>
      <c r="BY45" s="131">
        <f t="shared" si="65"/>
        <v>735000</v>
      </c>
      <c r="BZ45" s="123">
        <f t="shared" si="66"/>
        <v>0</v>
      </c>
      <c r="CA45" s="123">
        <f t="shared" si="66"/>
        <v>0</v>
      </c>
      <c r="CB45" s="146">
        <f t="shared" si="67"/>
        <v>0</v>
      </c>
    </row>
    <row r="46" spans="1:80" x14ac:dyDescent="0.2">
      <c r="A46" s="121">
        <v>128</v>
      </c>
      <c r="B46" s="130" t="s">
        <v>65</v>
      </c>
      <c r="C46" s="123">
        <f>'[5]ПП ВДГ'!C46+'[5]Корсак Л.Р.'!C46+'[5]Корсак В.І.'!C46+[5]Конякіна!C46</f>
        <v>3000</v>
      </c>
      <c r="D46" s="123">
        <f>'[5]ПП ВДГ'!D46+'[5]Корсак Л.Р.'!D46+'[5]Корсак В.І.'!D46+[5]Конякіна!D46</f>
        <v>0</v>
      </c>
      <c r="E46" s="131">
        <f t="shared" si="40"/>
        <v>3000</v>
      </c>
      <c r="F46" s="128">
        <f>'Солар Вест'!F46+Будник!F46</f>
        <v>0</v>
      </c>
      <c r="G46" s="128">
        <f>'Солар Вест'!G46+Будник!G46</f>
        <v>0</v>
      </c>
      <c r="H46" s="132">
        <f t="shared" si="41"/>
        <v>0</v>
      </c>
      <c r="I46" s="123">
        <f>'[5]ПП ВДГ'!I46+'[5]Корсак Л.Р.'!I46+'[5]Корсак В.І.'!I46+[5]Конякіна!I46</f>
        <v>3000</v>
      </c>
      <c r="J46" s="123">
        <f>'[5]ПП ВДГ'!J46+'[5]Корсак Л.Р.'!J46+'[5]Корсак В.І.'!J46+[5]Конякіна!J46</f>
        <v>0</v>
      </c>
      <c r="K46" s="131">
        <f t="shared" si="42"/>
        <v>3000</v>
      </c>
      <c r="L46" s="128">
        <f>'Солар Вест'!L46+Будник!L46</f>
        <v>0</v>
      </c>
      <c r="M46" s="128">
        <f>'Солар Вест'!M46+Будник!M46</f>
        <v>3900</v>
      </c>
      <c r="N46" s="132">
        <f t="shared" si="43"/>
        <v>3900</v>
      </c>
      <c r="O46" s="123">
        <f>'[5]ПП ВДГ'!O46+'[5]Корсак Л.Р.'!O46+'[5]Корсак В.І.'!O46+[5]Конякіна!O46</f>
        <v>3000</v>
      </c>
      <c r="P46" s="123">
        <f>'[5]ПП ВДГ'!P46+'[5]Корсак Л.Р.'!P46+'[5]Корсак В.І.'!P46+[5]Конякіна!P46</f>
        <v>0</v>
      </c>
      <c r="Q46" s="131">
        <f t="shared" si="44"/>
        <v>3000</v>
      </c>
      <c r="R46" s="128">
        <f>'Солар Вест'!R46+Будник!R46</f>
        <v>0</v>
      </c>
      <c r="S46" s="128">
        <f>'Солар Вест'!S46+Будник!S46</f>
        <v>0</v>
      </c>
      <c r="T46" s="132">
        <f t="shared" si="45"/>
        <v>0</v>
      </c>
      <c r="U46" s="123">
        <f>'[5]ПП ВДГ'!U46+'[5]Корсак Л.Р.'!U46+'[5]Корсак В.І.'!U46+[5]Конякіна!U46</f>
        <v>3000</v>
      </c>
      <c r="V46" s="123">
        <f>'[5]ПП ВДГ'!V46+'[5]Корсак Л.Р.'!V46+'[5]Корсак В.І.'!V46+[5]Конякіна!V46</f>
        <v>0</v>
      </c>
      <c r="W46" s="131">
        <f t="shared" si="46"/>
        <v>3000</v>
      </c>
      <c r="X46" s="128">
        <f>'Солар Вест'!X46+Будник!X46</f>
        <v>8520</v>
      </c>
      <c r="Y46" s="128">
        <f>'Солар Вест'!Y46+Будник!Y46</f>
        <v>23155</v>
      </c>
      <c r="Z46" s="132">
        <f t="shared" si="47"/>
        <v>31675</v>
      </c>
      <c r="AA46" s="123">
        <f>'[5]ПП ВДГ'!AA46+'[5]Корсак Л.Р.'!AA46+'[5]Корсак В.І.'!AA46+[5]Конякіна!AA46</f>
        <v>3000</v>
      </c>
      <c r="AB46" s="123">
        <f>'[5]ПП ВДГ'!AB46+'[5]Корсак Л.Р.'!AB46+'[5]Корсак В.І.'!AB46+[5]Конякіна!AB46</f>
        <v>0</v>
      </c>
      <c r="AC46" s="131">
        <f t="shared" si="48"/>
        <v>3000</v>
      </c>
      <c r="AD46" s="128">
        <f>'Солар Вест'!AD46+Будник!AD46</f>
        <v>23656.99</v>
      </c>
      <c r="AE46" s="128">
        <f>'Солар Вест'!AE46+Будник!AE46</f>
        <v>270174</v>
      </c>
      <c r="AF46" s="132">
        <f t="shared" si="49"/>
        <v>293830.99</v>
      </c>
      <c r="AG46" s="123">
        <f>'[5]ПП ВДГ'!AG46+'[5]Корсак Л.Р.'!AG46+'[5]Корсак В.І.'!AG46+[5]Конякіна!AG46</f>
        <v>3000</v>
      </c>
      <c r="AH46" s="123">
        <f>'[5]ПП ВДГ'!AH46+'[5]Корсак Л.Р.'!AH46+'[5]Корсак В.І.'!AH46+[5]Конякіна!AH46</f>
        <v>0</v>
      </c>
      <c r="AI46" s="131">
        <f t="shared" si="50"/>
        <v>3000</v>
      </c>
      <c r="AJ46" s="128">
        <f>'Солар Вест'!AJ46+Будник!AJ46</f>
        <v>7621</v>
      </c>
      <c r="AK46" s="128">
        <f>'Солар Вест'!AK46+Будник!AK46</f>
        <v>63870</v>
      </c>
      <c r="AL46" s="132">
        <f t="shared" si="51"/>
        <v>71491</v>
      </c>
      <c r="AM46" s="123">
        <f>'[5]ПП ВДГ'!AM46+'[5]Корсак Л.Р.'!AM46+'[5]Корсак В.І.'!AM46+[5]Конякіна!AM46</f>
        <v>3000</v>
      </c>
      <c r="AN46" s="123">
        <f>'[5]ПП ВДГ'!AN46+'[5]Корсак Л.Р.'!AN46+'[5]Корсак В.І.'!AN46+[5]Конякіна!AN46</f>
        <v>0</v>
      </c>
      <c r="AO46" s="131">
        <f t="shared" si="52"/>
        <v>3000</v>
      </c>
      <c r="AP46" s="128">
        <f>'Солар Вест'!AP46+Будник!AP46</f>
        <v>0</v>
      </c>
      <c r="AQ46" s="128">
        <f>'Солар Вест'!AQ46+Будник!AQ46</f>
        <v>76813</v>
      </c>
      <c r="AR46" s="132">
        <f t="shared" si="53"/>
        <v>76813</v>
      </c>
      <c r="AS46" s="123">
        <f>'[5]ПП ВДГ'!AS46+'[5]Корсак Л.Р.'!AS46+'[5]Корсак В.І.'!AS46+[5]Конякіна!AS46</f>
        <v>3000</v>
      </c>
      <c r="AT46" s="123">
        <f>'[5]ПП ВДГ'!AT46+'[5]Корсак Л.Р.'!AT46+'[5]Корсак В.І.'!AT46+[5]Конякіна!AT46</f>
        <v>3000</v>
      </c>
      <c r="AU46" s="131">
        <f t="shared" si="54"/>
        <v>6000</v>
      </c>
      <c r="AV46" s="128">
        <f>'Солар Вест'!AV46+Будник!AV46</f>
        <v>64551.5</v>
      </c>
      <c r="AW46" s="128">
        <f>'Солар Вест'!AW46+Будник!AW46</f>
        <v>8265</v>
      </c>
      <c r="AX46" s="132">
        <f t="shared" si="55"/>
        <v>72816.5</v>
      </c>
      <c r="AY46" s="123">
        <f>'[5]ПП ВДГ'!AY46+'[5]Корсак Л.Р.'!AY46+'[5]Корсак В.І.'!AY46+[5]Конякіна!AY46</f>
        <v>3000</v>
      </c>
      <c r="AZ46" s="123">
        <f>'[5]ПП ВДГ'!AZ46+'[5]Корсак Л.Р.'!AZ46+'[5]Корсак В.І.'!AZ46+[5]Конякіна!AZ46</f>
        <v>0</v>
      </c>
      <c r="BA46" s="131">
        <f t="shared" si="56"/>
        <v>3000</v>
      </c>
      <c r="BB46" s="128">
        <f>'Солар Вест'!BB46+Будник!BB46</f>
        <v>35500</v>
      </c>
      <c r="BC46" s="128">
        <f>'Солар Вест'!BC46+Будник!BC46</f>
        <v>2087</v>
      </c>
      <c r="BD46" s="132">
        <f t="shared" si="57"/>
        <v>37587</v>
      </c>
      <c r="BE46" s="128">
        <f>'Солар Вест'!BE46+Будник!BE46</f>
        <v>0</v>
      </c>
      <c r="BF46" s="128">
        <f>'Солар Вест'!BF46+Будник!BF46</f>
        <v>0</v>
      </c>
      <c r="BG46" s="131">
        <f t="shared" si="58"/>
        <v>0</v>
      </c>
      <c r="BH46" s="128">
        <f>'Солар Вест'!BH46+Будник!BH46</f>
        <v>0</v>
      </c>
      <c r="BI46" s="128">
        <f>'Солар Вест'!BI46+Будник!BI46</f>
        <v>0</v>
      </c>
      <c r="BJ46" s="132">
        <f t="shared" si="59"/>
        <v>0</v>
      </c>
      <c r="BK46" s="123">
        <f>'[5]ПП ВДГ'!BK46+'[5]Корсак Л.Р.'!BK46+'[5]Корсак В.І.'!BK46+[5]Конякіна!BK46</f>
        <v>3000</v>
      </c>
      <c r="BL46" s="123">
        <f>'[5]ПП ВДГ'!BL46+'[5]Корсак Л.Р.'!BL46+'[5]Корсак В.І.'!BL46+[5]Конякіна!BL46</f>
        <v>0</v>
      </c>
      <c r="BM46" s="131">
        <f t="shared" si="60"/>
        <v>3000</v>
      </c>
      <c r="BN46" s="128">
        <f>'Солар Вест'!BN46+Будник!BN46</f>
        <v>0</v>
      </c>
      <c r="BO46" s="128">
        <f>'Солар Вест'!BO46+Будник!BO46</f>
        <v>0</v>
      </c>
      <c r="BP46" s="132">
        <f t="shared" si="61"/>
        <v>0</v>
      </c>
      <c r="BQ46" s="123">
        <f>'[5]ПП ВДГ'!BQ46+'[5]Корсак Л.Р.'!BQ46+'[5]Корсак В.І.'!BQ46+[5]Конякіна!BQ46</f>
        <v>3000</v>
      </c>
      <c r="BR46" s="123">
        <f>'[5]ПП ВДГ'!BR46+'[5]Корсак Л.Р.'!BR46+'[5]Корсак В.І.'!BR46+[5]Конякіна!BR46</f>
        <v>0</v>
      </c>
      <c r="BS46" s="131">
        <f t="shared" si="62"/>
        <v>3000</v>
      </c>
      <c r="BT46" s="128">
        <f>'Солар Вест'!BT46+Будник!BT46</f>
        <v>0</v>
      </c>
      <c r="BU46" s="128">
        <f>'Солар Вест'!BU46+Будник!BU46</f>
        <v>0</v>
      </c>
      <c r="BV46" s="132">
        <f t="shared" si="63"/>
        <v>0</v>
      </c>
      <c r="BW46" s="123">
        <f t="shared" si="64"/>
        <v>33000</v>
      </c>
      <c r="BX46" s="123">
        <f t="shared" si="64"/>
        <v>3000</v>
      </c>
      <c r="BY46" s="131">
        <f t="shared" si="65"/>
        <v>36000</v>
      </c>
      <c r="BZ46" s="123">
        <f t="shared" si="66"/>
        <v>139849.49</v>
      </c>
      <c r="CA46" s="123">
        <f t="shared" si="66"/>
        <v>448264</v>
      </c>
      <c r="CB46" s="132">
        <f t="shared" si="67"/>
        <v>588113.49</v>
      </c>
    </row>
    <row r="47" spans="1:80" ht="25.5" x14ac:dyDescent="0.2">
      <c r="A47" s="121"/>
      <c r="B47" s="138" t="s">
        <v>66</v>
      </c>
      <c r="C47" s="123">
        <f>'[5]ПП ВДГ'!C47+'[5]Корсак Л.Р.'!C47+'[5]Корсак В.І.'!C47+[5]Конякіна!C47</f>
        <v>0</v>
      </c>
      <c r="D47" s="123">
        <f>'[5]ПП ВДГ'!D47+'[5]Корсак Л.Р.'!D47+'[5]Корсак В.І.'!D47+[5]Конякіна!D47</f>
        <v>0</v>
      </c>
      <c r="E47" s="139">
        <f t="shared" si="40"/>
        <v>0</v>
      </c>
      <c r="F47" s="126">
        <f>'Солар Вест'!F47+Будник!F47</f>
        <v>0</v>
      </c>
      <c r="G47" s="126">
        <f>'Солар Вест'!G47+Будник!G47</f>
        <v>0</v>
      </c>
      <c r="H47" s="140">
        <f t="shared" si="41"/>
        <v>0</v>
      </c>
      <c r="I47" s="123">
        <f>'[5]ПП ВДГ'!I47+'[5]Корсак Л.Р.'!I47+'[5]Корсак В.І.'!I47+[5]Конякіна!I47</f>
        <v>0</v>
      </c>
      <c r="J47" s="123">
        <f>'[5]ПП ВДГ'!J47+'[5]Корсак Л.Р.'!J47+'[5]Корсак В.І.'!J47+[5]Конякіна!J47</f>
        <v>0</v>
      </c>
      <c r="K47" s="139">
        <f t="shared" si="42"/>
        <v>0</v>
      </c>
      <c r="L47" s="126">
        <f>'Солар Вест'!L47+Будник!L47</f>
        <v>0</v>
      </c>
      <c r="M47" s="126">
        <f>'Солар Вест'!M47+Будник!M47</f>
        <v>0</v>
      </c>
      <c r="N47" s="140">
        <f t="shared" si="43"/>
        <v>0</v>
      </c>
      <c r="O47" s="123">
        <f>'[5]ПП ВДГ'!O47+'[5]Корсак Л.Р.'!O47+'[5]Корсак В.І.'!O47+[5]Конякіна!O47</f>
        <v>0</v>
      </c>
      <c r="P47" s="123">
        <f>'[5]ПП ВДГ'!P47+'[5]Корсак Л.Р.'!P47+'[5]Корсак В.І.'!P47+[5]Конякіна!P47</f>
        <v>0</v>
      </c>
      <c r="Q47" s="139">
        <f t="shared" si="44"/>
        <v>0</v>
      </c>
      <c r="R47" s="126">
        <f>'Солар Вест'!R47+Будник!R47</f>
        <v>0</v>
      </c>
      <c r="S47" s="126">
        <f>'Солар Вест'!S47+Будник!S47</f>
        <v>0</v>
      </c>
      <c r="T47" s="140">
        <f t="shared" si="45"/>
        <v>0</v>
      </c>
      <c r="U47" s="123">
        <f>'[5]ПП ВДГ'!U47+'[5]Корсак Л.Р.'!U47+'[5]Корсак В.І.'!U47+[5]Конякіна!U47</f>
        <v>0</v>
      </c>
      <c r="V47" s="123">
        <f>'[5]ПП ВДГ'!V47+'[5]Корсак Л.Р.'!V47+'[5]Корсак В.І.'!V47+[5]Конякіна!V47</f>
        <v>0</v>
      </c>
      <c r="W47" s="139">
        <f t="shared" si="46"/>
        <v>0</v>
      </c>
      <c r="X47" s="126">
        <f>'Солар Вест'!X47+Будник!X47</f>
        <v>0</v>
      </c>
      <c r="Y47" s="126">
        <f>'Солар Вест'!Y47+Будник!Y47</f>
        <v>0</v>
      </c>
      <c r="Z47" s="140">
        <f t="shared" si="47"/>
        <v>0</v>
      </c>
      <c r="AA47" s="123">
        <f>'[5]ПП ВДГ'!AA47+'[5]Корсак Л.Р.'!AA47+'[5]Корсак В.І.'!AA47+[5]Конякіна!AA47</f>
        <v>0</v>
      </c>
      <c r="AB47" s="123">
        <f>'[5]ПП ВДГ'!AB47+'[5]Корсак Л.Р.'!AB47+'[5]Корсак В.І.'!AB47+[5]Конякіна!AB47</f>
        <v>0</v>
      </c>
      <c r="AC47" s="139">
        <f t="shared" si="48"/>
        <v>0</v>
      </c>
      <c r="AD47" s="126">
        <f>'Солар Вест'!AD47+Будник!AD47</f>
        <v>0</v>
      </c>
      <c r="AE47" s="126">
        <f>'Солар Вест'!AE47+Будник!AE47</f>
        <v>0</v>
      </c>
      <c r="AF47" s="140">
        <f t="shared" si="49"/>
        <v>0</v>
      </c>
      <c r="AG47" s="123">
        <f>'[5]ПП ВДГ'!AG47+'[5]Корсак Л.Р.'!AG47+'[5]Корсак В.І.'!AG47+[5]Конякіна!AG47</f>
        <v>0</v>
      </c>
      <c r="AH47" s="123">
        <f>'[5]ПП ВДГ'!AH47+'[5]Корсак Л.Р.'!AH47+'[5]Корсак В.І.'!AH47+[5]Конякіна!AH47</f>
        <v>0</v>
      </c>
      <c r="AI47" s="139">
        <f t="shared" si="50"/>
        <v>0</v>
      </c>
      <c r="AJ47" s="126">
        <f>'Солар Вест'!AJ47+Будник!AJ47</f>
        <v>0</v>
      </c>
      <c r="AK47" s="126">
        <f>'Солар Вест'!AK47+Будник!AK47</f>
        <v>0</v>
      </c>
      <c r="AL47" s="140">
        <f t="shared" si="51"/>
        <v>0</v>
      </c>
      <c r="AM47" s="123">
        <f>'[5]ПП ВДГ'!AM47+'[5]Корсак Л.Р.'!AM47+'[5]Корсак В.І.'!AM47+[5]Конякіна!AM47</f>
        <v>0</v>
      </c>
      <c r="AN47" s="123">
        <f>'[5]ПП ВДГ'!AN47+'[5]Корсак Л.Р.'!AN47+'[5]Корсак В.І.'!AN47+[5]Конякіна!AN47</f>
        <v>0</v>
      </c>
      <c r="AO47" s="139">
        <f t="shared" si="52"/>
        <v>0</v>
      </c>
      <c r="AP47" s="126">
        <f>'Солар Вест'!AP47+Будник!AP47</f>
        <v>0</v>
      </c>
      <c r="AQ47" s="126">
        <f>'Солар Вест'!AQ47+Будник!AQ47</f>
        <v>0</v>
      </c>
      <c r="AR47" s="140">
        <f t="shared" si="53"/>
        <v>0</v>
      </c>
      <c r="AS47" s="123">
        <f>'[5]ПП ВДГ'!AS47+'[5]Корсак Л.Р.'!AS47+'[5]Корсак В.І.'!AS47+[5]Конякіна!AS47</f>
        <v>0</v>
      </c>
      <c r="AT47" s="123">
        <f>'[5]ПП ВДГ'!AT47+'[5]Корсак Л.Р.'!AT47+'[5]Корсак В.І.'!AT47+[5]Конякіна!AT47</f>
        <v>0</v>
      </c>
      <c r="AU47" s="139">
        <f t="shared" si="54"/>
        <v>0</v>
      </c>
      <c r="AV47" s="126">
        <f>'Солар Вест'!AV47+Будник!AV47</f>
        <v>0</v>
      </c>
      <c r="AW47" s="126">
        <f>'Солар Вест'!AW47+Будник!AW47</f>
        <v>0</v>
      </c>
      <c r="AX47" s="140">
        <f t="shared" si="55"/>
        <v>0</v>
      </c>
      <c r="AY47" s="123">
        <f>'[5]ПП ВДГ'!AY47+'[5]Корсак Л.Р.'!AY47+'[5]Корсак В.І.'!AY47+[5]Конякіна!AY47</f>
        <v>0</v>
      </c>
      <c r="AZ47" s="123">
        <f>'[5]ПП ВДГ'!AZ47+'[5]Корсак Л.Р.'!AZ47+'[5]Корсак В.І.'!AZ47+[5]Конякіна!AZ47</f>
        <v>0</v>
      </c>
      <c r="BA47" s="139">
        <f t="shared" si="56"/>
        <v>0</v>
      </c>
      <c r="BB47" s="126">
        <f>'Солар Вест'!BB47+Будник!BB47</f>
        <v>0</v>
      </c>
      <c r="BC47" s="126">
        <f>'Солар Вест'!BC47+Будник!BC47</f>
        <v>0</v>
      </c>
      <c r="BD47" s="140">
        <f t="shared" si="57"/>
        <v>0</v>
      </c>
      <c r="BE47" s="126">
        <f>'Солар Вест'!BE47+Будник!BE47</f>
        <v>0</v>
      </c>
      <c r="BF47" s="126">
        <f>'Солар Вест'!BF47+Будник!BF47</f>
        <v>0</v>
      </c>
      <c r="BG47" s="139">
        <f t="shared" si="58"/>
        <v>0</v>
      </c>
      <c r="BH47" s="126">
        <f>'Солар Вест'!BH47+Будник!BH47</f>
        <v>0</v>
      </c>
      <c r="BI47" s="126">
        <f>'Солар Вест'!BI47+Будник!BI47</f>
        <v>0</v>
      </c>
      <c r="BJ47" s="140">
        <f t="shared" si="59"/>
        <v>0</v>
      </c>
      <c r="BK47" s="123">
        <f>'[5]ПП ВДГ'!BK47+'[5]Корсак Л.Р.'!BK47+'[5]Корсак В.І.'!BK47+[5]Конякіна!BK47</f>
        <v>0</v>
      </c>
      <c r="BL47" s="123">
        <f>'[5]ПП ВДГ'!BL47+'[5]Корсак Л.Р.'!BL47+'[5]Корсак В.І.'!BL47+[5]Конякіна!BL47</f>
        <v>0</v>
      </c>
      <c r="BM47" s="139">
        <f t="shared" si="60"/>
        <v>0</v>
      </c>
      <c r="BN47" s="126">
        <f>'Солар Вест'!BN47+Будник!BN47</f>
        <v>0</v>
      </c>
      <c r="BO47" s="126">
        <f>'Солар Вест'!BO47+Будник!BO47</f>
        <v>0</v>
      </c>
      <c r="BP47" s="140">
        <f t="shared" si="61"/>
        <v>0</v>
      </c>
      <c r="BQ47" s="123">
        <f>'[5]ПП ВДГ'!BQ47+'[5]Корсак Л.Р.'!BQ47+'[5]Корсак В.І.'!BQ47+[5]Конякіна!BQ47</f>
        <v>0</v>
      </c>
      <c r="BR47" s="123">
        <f>'[5]ПП ВДГ'!BR47+'[5]Корсак Л.Р.'!BR47+'[5]Корсак В.І.'!BR47+[5]Конякіна!BR47</f>
        <v>0</v>
      </c>
      <c r="BS47" s="139">
        <f t="shared" si="62"/>
        <v>0</v>
      </c>
      <c r="BT47" s="126">
        <f>'Солар Вест'!BT47+Будник!BT47</f>
        <v>0</v>
      </c>
      <c r="BU47" s="126">
        <f>'Солар Вест'!BU47+Будник!BU47</f>
        <v>0</v>
      </c>
      <c r="BV47" s="140">
        <f t="shared" si="63"/>
        <v>0</v>
      </c>
      <c r="BW47" s="123">
        <f t="shared" si="64"/>
        <v>0</v>
      </c>
      <c r="BX47" s="123">
        <f t="shared" si="64"/>
        <v>0</v>
      </c>
      <c r="BY47" s="139">
        <f t="shared" si="65"/>
        <v>0</v>
      </c>
      <c r="BZ47" s="123">
        <f t="shared" si="66"/>
        <v>0</v>
      </c>
      <c r="CA47" s="123">
        <f t="shared" si="66"/>
        <v>0</v>
      </c>
      <c r="CB47" s="140">
        <f t="shared" si="67"/>
        <v>0</v>
      </c>
    </row>
    <row r="48" spans="1:80" x14ac:dyDescent="0.2">
      <c r="A48" s="121">
        <v>129</v>
      </c>
      <c r="B48" s="130" t="s">
        <v>67</v>
      </c>
      <c r="C48" s="123">
        <f>'[5]ПП ВДГ'!C48+'[5]Корсак Л.Р.'!C48+'[5]Корсак В.І.'!C48+[5]Конякіна!C48</f>
        <v>2300</v>
      </c>
      <c r="D48" s="123">
        <f>'[5]ПП ВДГ'!D48+'[5]Корсак Л.Р.'!D48+'[5]Корсак В.І.'!D48+[5]Конякіна!D48</f>
        <v>0</v>
      </c>
      <c r="E48" s="131">
        <f t="shared" si="40"/>
        <v>2300</v>
      </c>
      <c r="F48" s="128">
        <f>'Солар Вест'!F48+Будник!F48</f>
        <v>3910</v>
      </c>
      <c r="G48" s="128">
        <f>'Солар Вест'!G48+Будник!G48</f>
        <v>10000</v>
      </c>
      <c r="H48" s="132">
        <f t="shared" si="41"/>
        <v>13910</v>
      </c>
      <c r="I48" s="123">
        <f>'[5]ПП ВДГ'!I48+'[5]Корсак Л.Р.'!I48+'[5]Корсак В.І.'!I48+[5]Конякіна!I48</f>
        <v>2300</v>
      </c>
      <c r="J48" s="123">
        <f>'[5]ПП ВДГ'!J48+'[5]Корсак Л.Р.'!J48+'[5]Корсак В.І.'!J48+[5]Конякіна!J48</f>
        <v>0</v>
      </c>
      <c r="K48" s="131">
        <f t="shared" si="42"/>
        <v>2300</v>
      </c>
      <c r="L48" s="128">
        <f>'Солар Вест'!L48+Будник!L48</f>
        <v>7012.89</v>
      </c>
      <c r="M48" s="128">
        <f>'Солар Вест'!M48+Будник!M48</f>
        <v>515</v>
      </c>
      <c r="N48" s="132">
        <f t="shared" si="43"/>
        <v>7527.89</v>
      </c>
      <c r="O48" s="123">
        <f>'[5]ПП ВДГ'!O48+'[5]Корсак Л.Р.'!O48+'[5]Корсак В.І.'!O48+[5]Конякіна!O48</f>
        <v>2300</v>
      </c>
      <c r="P48" s="123">
        <f>'[5]ПП ВДГ'!P48+'[5]Корсак Л.Р.'!P48+'[5]Корсак В.І.'!P48+[5]Конякіна!P48</f>
        <v>0</v>
      </c>
      <c r="Q48" s="131">
        <f t="shared" si="44"/>
        <v>2300</v>
      </c>
      <c r="R48" s="128">
        <f>'Солар Вест'!R48+Будник!R48</f>
        <v>3483</v>
      </c>
      <c r="S48" s="128">
        <f>'Солар Вест'!S48+Будник!S48</f>
        <v>2100</v>
      </c>
      <c r="T48" s="132">
        <f t="shared" si="45"/>
        <v>5583</v>
      </c>
      <c r="U48" s="123">
        <f>'[5]ПП ВДГ'!U48+'[5]Корсак Л.Р.'!U48+'[5]Корсак В.І.'!U48+[5]Конякіна!U48</f>
        <v>2000</v>
      </c>
      <c r="V48" s="123">
        <f>'[5]ПП ВДГ'!V48+'[5]Корсак Л.Р.'!V48+'[5]Корсак В.І.'!V48+[5]Конякіна!V48</f>
        <v>0</v>
      </c>
      <c r="W48" s="131">
        <f t="shared" si="46"/>
        <v>2000</v>
      </c>
      <c r="X48" s="128">
        <f>'Солар Вест'!X48+Будник!X48</f>
        <v>82371</v>
      </c>
      <c r="Y48" s="128">
        <f>'Солар Вест'!Y48+Будник!Y48</f>
        <v>10990</v>
      </c>
      <c r="Z48" s="132">
        <f t="shared" si="47"/>
        <v>93361</v>
      </c>
      <c r="AA48" s="123">
        <f>'[5]ПП ВДГ'!AA48+'[5]Корсак Л.Р.'!AA48+'[5]Корсак В.І.'!AA48+[5]Конякіна!AA48</f>
        <v>5300</v>
      </c>
      <c r="AB48" s="123">
        <f>'[5]ПП ВДГ'!AB48+'[5]Корсак Л.Р.'!AB48+'[5]Корсак В.І.'!AB48+[5]Конякіна!AB48</f>
        <v>0</v>
      </c>
      <c r="AC48" s="131">
        <f t="shared" si="48"/>
        <v>5300</v>
      </c>
      <c r="AD48" s="128">
        <f>'Солар Вест'!AD48+Будник!AD48</f>
        <v>10415.15</v>
      </c>
      <c r="AE48" s="128">
        <f>'Солар Вест'!AE48+Будник!AE48</f>
        <v>18062</v>
      </c>
      <c r="AF48" s="132">
        <f t="shared" si="49"/>
        <v>28477.15</v>
      </c>
      <c r="AG48" s="123">
        <f>'[5]ПП ВДГ'!AG48+'[5]Корсак Л.Р.'!AG48+'[5]Корсак В.І.'!AG48+[5]Конякіна!AG48</f>
        <v>4000</v>
      </c>
      <c r="AH48" s="123">
        <f>'[5]ПП ВДГ'!AH48+'[5]Корсак Л.Р.'!AH48+'[5]Корсак В.І.'!AH48+[5]Конякіна!AH48</f>
        <v>0</v>
      </c>
      <c r="AI48" s="131">
        <f t="shared" si="50"/>
        <v>4000</v>
      </c>
      <c r="AJ48" s="128">
        <f>'Солар Вест'!AJ48+Будник!AJ48</f>
        <v>62726.75</v>
      </c>
      <c r="AK48" s="128">
        <f>'Солар Вест'!AK48+Будник!AK48</f>
        <v>24974</v>
      </c>
      <c r="AL48" s="132">
        <f t="shared" si="51"/>
        <v>87700.75</v>
      </c>
      <c r="AM48" s="123">
        <f>'[5]ПП ВДГ'!AM48+'[5]Корсак Л.Р.'!AM48+'[5]Корсак В.І.'!AM48+[5]Конякіна!AM48</f>
        <v>2300</v>
      </c>
      <c r="AN48" s="123">
        <f>'[5]ПП ВДГ'!AN48+'[5]Корсак Л.Р.'!AN48+'[5]Корсак В.І.'!AN48+[5]Конякіна!AN48</f>
        <v>0</v>
      </c>
      <c r="AO48" s="131">
        <f t="shared" si="52"/>
        <v>2300</v>
      </c>
      <c r="AP48" s="128">
        <f>'Солар Вест'!AP48+Будник!AP48</f>
        <v>75539.100000000006</v>
      </c>
      <c r="AQ48" s="128">
        <f>'Солар Вест'!AQ48+Будник!AQ48</f>
        <v>15122</v>
      </c>
      <c r="AR48" s="132">
        <f t="shared" si="53"/>
        <v>90661.1</v>
      </c>
      <c r="AS48" s="123">
        <f>'[5]ПП ВДГ'!AS48+'[5]Корсак Л.Р.'!AS48+'[5]Корсак В.І.'!AS48+[5]Конякіна!AS48</f>
        <v>2300</v>
      </c>
      <c r="AT48" s="123">
        <f>'[5]ПП ВДГ'!AT48+'[5]Корсак Л.Р.'!AT48+'[5]Корсак В.І.'!AT48+[5]Конякіна!AT48</f>
        <v>0</v>
      </c>
      <c r="AU48" s="131">
        <f t="shared" si="54"/>
        <v>2300</v>
      </c>
      <c r="AV48" s="128">
        <f>'Солар Вест'!AV48+Будник!AV48</f>
        <v>9700</v>
      </c>
      <c r="AW48" s="128">
        <f>'Солар Вест'!AW48+Будник!AW48</f>
        <v>39378</v>
      </c>
      <c r="AX48" s="132">
        <f t="shared" si="55"/>
        <v>49078</v>
      </c>
      <c r="AY48" s="123">
        <f>'[5]ПП ВДГ'!AY48+'[5]Корсак Л.Р.'!AY48+'[5]Корсак В.І.'!AY48+[5]Конякіна!AY48</f>
        <v>2300</v>
      </c>
      <c r="AZ48" s="123">
        <f>'[5]ПП ВДГ'!AZ48+'[5]Корсак Л.Р.'!AZ48+'[5]Корсак В.І.'!AZ48+[5]Конякіна!AZ48</f>
        <v>0</v>
      </c>
      <c r="BA48" s="131">
        <f t="shared" si="56"/>
        <v>2300</v>
      </c>
      <c r="BB48" s="128">
        <f>'Солар Вест'!BB48+Будник!BB48</f>
        <v>6843.01</v>
      </c>
      <c r="BC48" s="128">
        <f>'Солар Вест'!BC48+Будник!BC48</f>
        <v>26513</v>
      </c>
      <c r="BD48" s="132">
        <f t="shared" si="57"/>
        <v>33356.01</v>
      </c>
      <c r="BE48" s="128">
        <f>'Солар Вест'!BE48+Будник!BE48</f>
        <v>9510.7900000000009</v>
      </c>
      <c r="BF48" s="128">
        <f>'Солар Вест'!BF48+Будник!BF48</f>
        <v>16692</v>
      </c>
      <c r="BG48" s="131">
        <f t="shared" si="58"/>
        <v>26202.79</v>
      </c>
      <c r="BH48" s="128">
        <f>'Солар Вест'!BH48+Будник!BH48</f>
        <v>0</v>
      </c>
      <c r="BI48" s="128">
        <f>'Солар Вест'!BI48+Будник!BI48</f>
        <v>0</v>
      </c>
      <c r="BJ48" s="132">
        <f t="shared" si="59"/>
        <v>0</v>
      </c>
      <c r="BK48" s="123">
        <f>'[5]ПП ВДГ'!BK48+'[5]Корсак Л.Р.'!BK48+'[5]Корсак В.І.'!BK48+[5]Конякіна!BK48</f>
        <v>3500</v>
      </c>
      <c r="BL48" s="123">
        <f>'[5]ПП ВДГ'!BL48+'[5]Корсак Л.Р.'!BL48+'[5]Корсак В.І.'!BL48+[5]Конякіна!BL48</f>
        <v>0</v>
      </c>
      <c r="BM48" s="131">
        <f t="shared" si="60"/>
        <v>3500</v>
      </c>
      <c r="BN48" s="128">
        <f>'Солар Вест'!BN48+Будник!BN48</f>
        <v>0</v>
      </c>
      <c r="BO48" s="128">
        <f>'Солар Вест'!BO48+Будник!BO48</f>
        <v>0</v>
      </c>
      <c r="BP48" s="132">
        <f t="shared" si="61"/>
        <v>0</v>
      </c>
      <c r="BQ48" s="123">
        <f>'[5]ПП ВДГ'!BQ48+'[5]Корсак Л.Р.'!BQ48+'[5]Корсак В.І.'!BQ48+[5]Конякіна!BQ48</f>
        <v>3500</v>
      </c>
      <c r="BR48" s="123">
        <f>'[5]ПП ВДГ'!BR48+'[5]Корсак Л.Р.'!BR48+'[5]Корсак В.І.'!BR48+[5]Конякіна!BR48</f>
        <v>500</v>
      </c>
      <c r="BS48" s="131">
        <f t="shared" si="62"/>
        <v>4000</v>
      </c>
      <c r="BT48" s="128">
        <f>'Солар Вест'!BT48+Будник!BT48</f>
        <v>0</v>
      </c>
      <c r="BU48" s="128">
        <f>'Солар Вест'!BU48+Будник!BU48</f>
        <v>0</v>
      </c>
      <c r="BV48" s="132">
        <f t="shared" si="63"/>
        <v>0</v>
      </c>
      <c r="BW48" s="123">
        <f t="shared" si="64"/>
        <v>41610.79</v>
      </c>
      <c r="BX48" s="123">
        <f t="shared" si="64"/>
        <v>17192</v>
      </c>
      <c r="BY48" s="131">
        <f t="shared" si="65"/>
        <v>58802.79</v>
      </c>
      <c r="BZ48" s="123">
        <f t="shared" si="66"/>
        <v>262000.90000000002</v>
      </c>
      <c r="CA48" s="123">
        <f t="shared" si="66"/>
        <v>147654</v>
      </c>
      <c r="CB48" s="132">
        <f t="shared" si="67"/>
        <v>409654.9</v>
      </c>
    </row>
    <row r="49" spans="1:80" ht="25.5" x14ac:dyDescent="0.2">
      <c r="A49" s="121"/>
      <c r="B49" s="138" t="s">
        <v>68</v>
      </c>
      <c r="C49" s="123">
        <f>'[5]ПП ВДГ'!C49+'[5]Корсак Л.Р.'!C49+'[5]Корсак В.І.'!C49+[5]Конякіна!C49</f>
        <v>0</v>
      </c>
      <c r="D49" s="123">
        <f>'[5]ПП ВДГ'!D49+'[5]Корсак Л.Р.'!D49+'[5]Корсак В.І.'!D49+[5]Конякіна!D49</f>
        <v>0</v>
      </c>
      <c r="E49" s="139">
        <f t="shared" si="40"/>
        <v>0</v>
      </c>
      <c r="F49" s="126">
        <f>'Солар Вест'!F49+Будник!F49</f>
        <v>0</v>
      </c>
      <c r="G49" s="126">
        <f>'Солар Вест'!G49+Будник!G49</f>
        <v>0</v>
      </c>
      <c r="H49" s="140">
        <f t="shared" si="41"/>
        <v>0</v>
      </c>
      <c r="I49" s="123">
        <f>'[5]ПП ВДГ'!I49+'[5]Корсак Л.Р.'!I49+'[5]Корсак В.І.'!I49+[5]Конякіна!I49</f>
        <v>0</v>
      </c>
      <c r="J49" s="123">
        <f>'[5]ПП ВДГ'!J49+'[5]Корсак Л.Р.'!J49+'[5]Корсак В.І.'!J49+[5]Конякіна!J49</f>
        <v>0</v>
      </c>
      <c r="K49" s="139">
        <f t="shared" si="42"/>
        <v>0</v>
      </c>
      <c r="L49" s="126">
        <f>'Солар Вест'!L49+Будник!L49</f>
        <v>0</v>
      </c>
      <c r="M49" s="126">
        <f>'Солар Вест'!M49+Будник!M49</f>
        <v>0</v>
      </c>
      <c r="N49" s="140">
        <f t="shared" si="43"/>
        <v>0</v>
      </c>
      <c r="O49" s="123">
        <f>'[5]ПП ВДГ'!O49+'[5]Корсак Л.Р.'!O49+'[5]Корсак В.І.'!O49+[5]Конякіна!O49</f>
        <v>0</v>
      </c>
      <c r="P49" s="123">
        <f>'[5]ПП ВДГ'!P49+'[5]Корсак Л.Р.'!P49+'[5]Корсак В.І.'!P49+[5]Конякіна!P49</f>
        <v>0</v>
      </c>
      <c r="Q49" s="139">
        <f t="shared" si="44"/>
        <v>0</v>
      </c>
      <c r="R49" s="126">
        <f>'Солар Вест'!R49+Будник!R49</f>
        <v>0</v>
      </c>
      <c r="S49" s="126">
        <f>'Солар Вест'!S49+Будник!S49</f>
        <v>0</v>
      </c>
      <c r="T49" s="140">
        <f t="shared" si="45"/>
        <v>0</v>
      </c>
      <c r="U49" s="123">
        <f>'[5]ПП ВДГ'!U49+'[5]Корсак Л.Р.'!U49+'[5]Корсак В.І.'!U49+[5]Конякіна!U49</f>
        <v>0</v>
      </c>
      <c r="V49" s="123">
        <f>'[5]ПП ВДГ'!V49+'[5]Корсак Л.Р.'!V49+'[5]Корсак В.І.'!V49+[5]Конякіна!V49</f>
        <v>0</v>
      </c>
      <c r="W49" s="139">
        <f t="shared" si="46"/>
        <v>0</v>
      </c>
      <c r="X49" s="126">
        <f>'Солар Вест'!X49+Будник!X49</f>
        <v>0</v>
      </c>
      <c r="Y49" s="126">
        <f>'Солар Вест'!Y49+Будник!Y49</f>
        <v>0</v>
      </c>
      <c r="Z49" s="140">
        <f t="shared" si="47"/>
        <v>0</v>
      </c>
      <c r="AA49" s="123">
        <f>'[5]ПП ВДГ'!AA49+'[5]Корсак Л.Р.'!AA49+'[5]Корсак В.І.'!AA49+[5]Конякіна!AA49</f>
        <v>0</v>
      </c>
      <c r="AB49" s="123">
        <f>'[5]ПП ВДГ'!AB49+'[5]Корсак Л.Р.'!AB49+'[5]Корсак В.І.'!AB49+[5]Конякіна!AB49</f>
        <v>0</v>
      </c>
      <c r="AC49" s="139">
        <f t="shared" si="48"/>
        <v>0</v>
      </c>
      <c r="AD49" s="126">
        <f>'Солар Вест'!AD49+Будник!AD49</f>
        <v>0</v>
      </c>
      <c r="AE49" s="126">
        <f>'Солар Вест'!AE49+Будник!AE49</f>
        <v>0</v>
      </c>
      <c r="AF49" s="140">
        <f t="shared" si="49"/>
        <v>0</v>
      </c>
      <c r="AG49" s="123">
        <f>'[5]ПП ВДГ'!AG49+'[5]Корсак Л.Р.'!AG49+'[5]Корсак В.І.'!AG49+[5]Конякіна!AG49</f>
        <v>0</v>
      </c>
      <c r="AH49" s="123">
        <f>'[5]ПП ВДГ'!AH49+'[5]Корсак Л.Р.'!AH49+'[5]Корсак В.І.'!AH49+[5]Конякіна!AH49</f>
        <v>0</v>
      </c>
      <c r="AI49" s="139">
        <f t="shared" si="50"/>
        <v>0</v>
      </c>
      <c r="AJ49" s="126">
        <f>'Солар Вест'!AJ49+Будник!AJ49</f>
        <v>0</v>
      </c>
      <c r="AK49" s="126">
        <f>'Солар Вест'!AK49+Будник!AK49</f>
        <v>0</v>
      </c>
      <c r="AL49" s="140">
        <f t="shared" si="51"/>
        <v>0</v>
      </c>
      <c r="AM49" s="123">
        <f>'[5]ПП ВДГ'!AM49+'[5]Корсак Л.Р.'!AM49+'[5]Корсак В.І.'!AM49+[5]Конякіна!AM49</f>
        <v>0</v>
      </c>
      <c r="AN49" s="123">
        <f>'[5]ПП ВДГ'!AN49+'[5]Корсак Л.Р.'!AN49+'[5]Корсак В.І.'!AN49+[5]Конякіна!AN49</f>
        <v>0</v>
      </c>
      <c r="AO49" s="139">
        <f t="shared" si="52"/>
        <v>0</v>
      </c>
      <c r="AP49" s="126">
        <f>'Солар Вест'!AP49+Будник!AP49</f>
        <v>0</v>
      </c>
      <c r="AQ49" s="126">
        <f>'Солар Вест'!AQ49+Будник!AQ49</f>
        <v>0</v>
      </c>
      <c r="AR49" s="140">
        <f t="shared" si="53"/>
        <v>0</v>
      </c>
      <c r="AS49" s="123">
        <f>'[5]ПП ВДГ'!AS49+'[5]Корсак Л.Р.'!AS49+'[5]Корсак В.І.'!AS49+[5]Конякіна!AS49</f>
        <v>0</v>
      </c>
      <c r="AT49" s="123">
        <f>'[5]ПП ВДГ'!AT49+'[5]Корсак Л.Р.'!AT49+'[5]Корсак В.І.'!AT49+[5]Конякіна!AT49</f>
        <v>0</v>
      </c>
      <c r="AU49" s="139">
        <f t="shared" si="54"/>
        <v>0</v>
      </c>
      <c r="AV49" s="126">
        <f>'Солар Вест'!AV49+Будник!AV49</f>
        <v>0</v>
      </c>
      <c r="AW49" s="126">
        <f>'Солар Вест'!AW49+Будник!AW49</f>
        <v>0</v>
      </c>
      <c r="AX49" s="140">
        <f t="shared" si="55"/>
        <v>0</v>
      </c>
      <c r="AY49" s="123">
        <f>'[5]ПП ВДГ'!AY49+'[5]Корсак Л.Р.'!AY49+'[5]Корсак В.І.'!AY49+[5]Конякіна!AY49</f>
        <v>0</v>
      </c>
      <c r="AZ49" s="123">
        <f>'[5]ПП ВДГ'!AZ49+'[5]Корсак Л.Р.'!AZ49+'[5]Корсак В.І.'!AZ49+[5]Конякіна!AZ49</f>
        <v>0</v>
      </c>
      <c r="BA49" s="139">
        <f t="shared" si="56"/>
        <v>0</v>
      </c>
      <c r="BB49" s="126">
        <f>'Солар Вест'!BB49+Будник!BB49</f>
        <v>0</v>
      </c>
      <c r="BC49" s="126">
        <f>'Солар Вест'!BC49+Будник!BC49</f>
        <v>0</v>
      </c>
      <c r="BD49" s="140">
        <f t="shared" si="57"/>
        <v>0</v>
      </c>
      <c r="BE49" s="126">
        <f>'Солар Вест'!BE49+Будник!BE49</f>
        <v>0</v>
      </c>
      <c r="BF49" s="126">
        <f>'Солар Вест'!BF49+Будник!BF49</f>
        <v>0</v>
      </c>
      <c r="BG49" s="139">
        <f t="shared" si="58"/>
        <v>0</v>
      </c>
      <c r="BH49" s="126">
        <f>'Солар Вест'!BH49+Будник!BH49</f>
        <v>0</v>
      </c>
      <c r="BI49" s="126">
        <f>'Солар Вест'!BI49+Будник!BI49</f>
        <v>0</v>
      </c>
      <c r="BJ49" s="140">
        <f t="shared" si="59"/>
        <v>0</v>
      </c>
      <c r="BK49" s="123">
        <f>'[5]ПП ВДГ'!BK49+'[5]Корсак Л.Р.'!BK49+'[5]Корсак В.І.'!BK49+[5]Конякіна!BK49</f>
        <v>0</v>
      </c>
      <c r="BL49" s="123">
        <f>'[5]ПП ВДГ'!BL49+'[5]Корсак Л.Р.'!BL49+'[5]Корсак В.І.'!BL49+[5]Конякіна!BL49</f>
        <v>0</v>
      </c>
      <c r="BM49" s="139">
        <f t="shared" si="60"/>
        <v>0</v>
      </c>
      <c r="BN49" s="126">
        <f>'Солар Вест'!BN49+Будник!BN49</f>
        <v>0</v>
      </c>
      <c r="BO49" s="126">
        <f>'Солар Вест'!BO49+Будник!BO49</f>
        <v>0</v>
      </c>
      <c r="BP49" s="140">
        <f t="shared" si="61"/>
        <v>0</v>
      </c>
      <c r="BQ49" s="123">
        <f>'[5]ПП ВДГ'!BQ49+'[5]Корсак Л.Р.'!BQ49+'[5]Корсак В.І.'!BQ49+[5]Конякіна!BQ49</f>
        <v>0</v>
      </c>
      <c r="BR49" s="123">
        <f>'[5]ПП ВДГ'!BR49+'[5]Корсак Л.Р.'!BR49+'[5]Корсак В.І.'!BR49+[5]Конякіна!BR49</f>
        <v>0</v>
      </c>
      <c r="BS49" s="139">
        <f t="shared" si="62"/>
        <v>0</v>
      </c>
      <c r="BT49" s="126">
        <f>'Солар Вест'!BT49+Будник!BT49</f>
        <v>0</v>
      </c>
      <c r="BU49" s="126">
        <f>'Солар Вест'!BU49+Будник!BU49</f>
        <v>0</v>
      </c>
      <c r="BV49" s="140">
        <f t="shared" si="63"/>
        <v>0</v>
      </c>
      <c r="BW49" s="123">
        <f t="shared" si="64"/>
        <v>0</v>
      </c>
      <c r="BX49" s="123">
        <f t="shared" si="64"/>
        <v>0</v>
      </c>
      <c r="BY49" s="139">
        <f t="shared" si="65"/>
        <v>0</v>
      </c>
      <c r="BZ49" s="123">
        <f t="shared" si="66"/>
        <v>0</v>
      </c>
      <c r="CA49" s="123">
        <f t="shared" si="66"/>
        <v>0</v>
      </c>
      <c r="CB49" s="140">
        <f t="shared" si="67"/>
        <v>0</v>
      </c>
    </row>
    <row r="50" spans="1:80" x14ac:dyDescent="0.2">
      <c r="A50" s="121">
        <v>130</v>
      </c>
      <c r="B50" s="130" t="s">
        <v>69</v>
      </c>
      <c r="C50" s="123">
        <f>'[5]ПП ВДГ'!C50+'[5]Корсак Л.Р.'!C50+'[5]Корсак В.І.'!C50+[5]Конякіна!C50</f>
        <v>0</v>
      </c>
      <c r="D50" s="123">
        <f>'[5]ПП ВДГ'!D50+'[5]Корсак Л.Р.'!D50+'[5]Корсак В.І.'!D50+[5]Конякіна!D50</f>
        <v>0</v>
      </c>
      <c r="E50" s="131">
        <f t="shared" si="40"/>
        <v>0</v>
      </c>
      <c r="F50" s="128">
        <f>'Солар Вест'!F50+Будник!F50</f>
        <v>0</v>
      </c>
      <c r="G50" s="128">
        <f>'Солар Вест'!G50+Будник!G50</f>
        <v>0</v>
      </c>
      <c r="H50" s="132">
        <f t="shared" si="41"/>
        <v>0</v>
      </c>
      <c r="I50" s="123">
        <f>'[5]ПП ВДГ'!I50+'[5]Корсак Л.Р.'!I50+'[5]Корсак В.І.'!I50+[5]Конякіна!I50</f>
        <v>0</v>
      </c>
      <c r="J50" s="123">
        <f>'[5]ПП ВДГ'!J50+'[5]Корсак Л.Р.'!J50+'[5]Корсак В.І.'!J50+[5]Конякіна!J50</f>
        <v>0</v>
      </c>
      <c r="K50" s="131">
        <f t="shared" si="42"/>
        <v>0</v>
      </c>
      <c r="L50" s="128">
        <f>'Солар Вест'!L50+Будник!L50</f>
        <v>0</v>
      </c>
      <c r="M50" s="128">
        <f>'Солар Вест'!M50+Будник!M50</f>
        <v>0</v>
      </c>
      <c r="N50" s="132">
        <f t="shared" si="43"/>
        <v>0</v>
      </c>
      <c r="O50" s="123">
        <f>'[5]ПП ВДГ'!O50+'[5]Корсак Л.Р.'!O50+'[5]Корсак В.І.'!O50+[5]Конякіна!O50</f>
        <v>0</v>
      </c>
      <c r="P50" s="123">
        <f>'[5]ПП ВДГ'!P50+'[5]Корсак Л.Р.'!P50+'[5]Корсак В.І.'!P50+[5]Конякіна!P50</f>
        <v>0</v>
      </c>
      <c r="Q50" s="131">
        <f t="shared" si="44"/>
        <v>0</v>
      </c>
      <c r="R50" s="128">
        <f>'Солар Вест'!R50+Будник!R50</f>
        <v>0</v>
      </c>
      <c r="S50" s="128">
        <f>'Солар Вест'!S50+Будник!S50</f>
        <v>130</v>
      </c>
      <c r="T50" s="132">
        <f t="shared" si="45"/>
        <v>130</v>
      </c>
      <c r="U50" s="123">
        <f>'[5]ПП ВДГ'!U50+'[5]Корсак Л.Р.'!U50+'[5]Корсак В.І.'!U50+[5]Конякіна!U50</f>
        <v>0</v>
      </c>
      <c r="V50" s="123">
        <f>'[5]ПП ВДГ'!V50+'[5]Корсак Л.Р.'!V50+'[5]Корсак В.І.'!V50+[5]Конякіна!V50</f>
        <v>0</v>
      </c>
      <c r="W50" s="131">
        <f t="shared" si="46"/>
        <v>0</v>
      </c>
      <c r="X50" s="128">
        <f>'Солар Вест'!X50+Будник!X50</f>
        <v>0</v>
      </c>
      <c r="Y50" s="128">
        <f>'Солар Вест'!Y50+Будник!Y50</f>
        <v>200</v>
      </c>
      <c r="Z50" s="132">
        <f t="shared" si="47"/>
        <v>200</v>
      </c>
      <c r="AA50" s="123">
        <f>'[5]ПП ВДГ'!AA50+'[5]Корсак Л.Р.'!AA50+'[5]Корсак В.І.'!AA50+[5]Конякіна!AA50</f>
        <v>0</v>
      </c>
      <c r="AB50" s="123">
        <f>'[5]ПП ВДГ'!AB50+'[5]Корсак Л.Р.'!AB50+'[5]Корсак В.І.'!AB50+[5]Конякіна!AB50</f>
        <v>0</v>
      </c>
      <c r="AC50" s="131">
        <f t="shared" si="48"/>
        <v>0</v>
      </c>
      <c r="AD50" s="128">
        <f>'Солар Вест'!AD50+Будник!AD50</f>
        <v>3000</v>
      </c>
      <c r="AE50" s="128">
        <f>'Солар Вест'!AE50+Будник!AE50</f>
        <v>978</v>
      </c>
      <c r="AF50" s="132">
        <f t="shared" si="49"/>
        <v>3978</v>
      </c>
      <c r="AG50" s="123">
        <f>'[5]ПП ВДГ'!AG50+'[5]Корсак Л.Р.'!AG50+'[5]Корсак В.І.'!AG50+[5]Конякіна!AG50</f>
        <v>0</v>
      </c>
      <c r="AH50" s="123">
        <f>'[5]ПП ВДГ'!AH50+'[5]Корсак Л.Р.'!AH50+'[5]Корсак В.І.'!AH50+[5]Конякіна!AH50</f>
        <v>0</v>
      </c>
      <c r="AI50" s="131">
        <f t="shared" si="50"/>
        <v>0</v>
      </c>
      <c r="AJ50" s="128">
        <f>'Солар Вест'!AJ50+Будник!AJ50</f>
        <v>0</v>
      </c>
      <c r="AK50" s="128">
        <f>'Солар Вест'!AK50+Будник!AK50</f>
        <v>950</v>
      </c>
      <c r="AL50" s="132">
        <f t="shared" si="51"/>
        <v>950</v>
      </c>
      <c r="AM50" s="123">
        <f>'[5]ПП ВДГ'!AM50+'[5]Корсак Л.Р.'!AM50+'[5]Корсак В.І.'!AM50+[5]Конякіна!AM50</f>
        <v>0</v>
      </c>
      <c r="AN50" s="123">
        <f>'[5]ПП ВДГ'!AN50+'[5]Корсак Л.Р.'!AN50+'[5]Корсак В.І.'!AN50+[5]Конякіна!AN50</f>
        <v>0</v>
      </c>
      <c r="AO50" s="131">
        <f t="shared" si="52"/>
        <v>0</v>
      </c>
      <c r="AP50" s="128">
        <f>'Солар Вест'!AP50+Будник!AP50</f>
        <v>0</v>
      </c>
      <c r="AQ50" s="128">
        <f>'Солар Вест'!AQ50+Будник!AQ50</f>
        <v>0</v>
      </c>
      <c r="AR50" s="132">
        <f t="shared" si="53"/>
        <v>0</v>
      </c>
      <c r="AS50" s="123">
        <f>'[5]ПП ВДГ'!AS50+'[5]Корсак Л.Р.'!AS50+'[5]Корсак В.І.'!AS50+[5]Конякіна!AS50</f>
        <v>0</v>
      </c>
      <c r="AT50" s="123">
        <f>'[5]ПП ВДГ'!AT50+'[5]Корсак Л.Р.'!AT50+'[5]Корсак В.І.'!AT50+[5]Конякіна!AT50</f>
        <v>0</v>
      </c>
      <c r="AU50" s="131">
        <f t="shared" si="54"/>
        <v>0</v>
      </c>
      <c r="AV50" s="128">
        <f>'Солар Вест'!AV50+Будник!AV50</f>
        <v>6700</v>
      </c>
      <c r="AW50" s="128">
        <f>'Солар Вест'!AW50+Будник!AW50</f>
        <v>0</v>
      </c>
      <c r="AX50" s="132">
        <f t="shared" si="55"/>
        <v>6700</v>
      </c>
      <c r="AY50" s="123">
        <f>'[5]ПП ВДГ'!AY50+'[5]Корсак Л.Р.'!AY50+'[5]Корсак В.І.'!AY50+[5]Конякіна!AY50</f>
        <v>0</v>
      </c>
      <c r="AZ50" s="123">
        <f>'[5]ПП ВДГ'!AZ50+'[5]Корсак Л.Р.'!AZ50+'[5]Корсак В.І.'!AZ50+[5]Конякіна!AZ50</f>
        <v>0</v>
      </c>
      <c r="BA50" s="131">
        <f t="shared" si="56"/>
        <v>0</v>
      </c>
      <c r="BB50" s="128">
        <f>'Солар Вест'!BB50+Будник!BB50</f>
        <v>0</v>
      </c>
      <c r="BC50" s="128">
        <f>'Солар Вест'!BC50+Будник!BC50</f>
        <v>232</v>
      </c>
      <c r="BD50" s="132">
        <f t="shared" si="57"/>
        <v>232</v>
      </c>
      <c r="BE50" s="128">
        <f>'Солар Вест'!BE50+Будник!BE50</f>
        <v>16000</v>
      </c>
      <c r="BF50" s="128">
        <f>'Солар Вест'!BF50+Будник!BF50</f>
        <v>10147</v>
      </c>
      <c r="BG50" s="131">
        <f t="shared" si="58"/>
        <v>26147</v>
      </c>
      <c r="BH50" s="128">
        <f>'Солар Вест'!BH50+Будник!BH50</f>
        <v>0</v>
      </c>
      <c r="BI50" s="128">
        <f>'Солар Вест'!BI50+Будник!BI50</f>
        <v>0</v>
      </c>
      <c r="BJ50" s="132">
        <f t="shared" si="59"/>
        <v>0</v>
      </c>
      <c r="BK50" s="123">
        <f>'[5]ПП ВДГ'!BK50+'[5]Корсак Л.Р.'!BK50+'[5]Корсак В.І.'!BK50+[5]Конякіна!BK50</f>
        <v>0</v>
      </c>
      <c r="BL50" s="123">
        <f>'[5]ПП ВДГ'!BL50+'[5]Корсак Л.Р.'!BL50+'[5]Корсак В.І.'!BL50+[5]Конякіна!BL50</f>
        <v>0</v>
      </c>
      <c r="BM50" s="131">
        <f t="shared" si="60"/>
        <v>0</v>
      </c>
      <c r="BN50" s="128">
        <f>'Солар Вест'!BN50+Будник!BN50</f>
        <v>0</v>
      </c>
      <c r="BO50" s="128">
        <f>'Солар Вест'!BO50+Будник!BO50</f>
        <v>0</v>
      </c>
      <c r="BP50" s="132">
        <f t="shared" si="61"/>
        <v>0</v>
      </c>
      <c r="BQ50" s="123">
        <f>'[5]ПП ВДГ'!BQ50+'[5]Корсак Л.Р.'!BQ50+'[5]Корсак В.І.'!BQ50+[5]Конякіна!BQ50</f>
        <v>0</v>
      </c>
      <c r="BR50" s="123">
        <f>'[5]ПП ВДГ'!BR50+'[5]Корсак Л.Р.'!BR50+'[5]Корсак В.І.'!BR50+[5]Конякіна!BR50</f>
        <v>0</v>
      </c>
      <c r="BS50" s="131">
        <f t="shared" si="62"/>
        <v>0</v>
      </c>
      <c r="BT50" s="128">
        <f>'Солар Вест'!BT50+Будник!BT50</f>
        <v>0</v>
      </c>
      <c r="BU50" s="128">
        <f>'Солар Вест'!BU50+Будник!BU50</f>
        <v>0</v>
      </c>
      <c r="BV50" s="132">
        <f t="shared" si="63"/>
        <v>0</v>
      </c>
      <c r="BW50" s="123">
        <f t="shared" si="64"/>
        <v>16000</v>
      </c>
      <c r="BX50" s="123">
        <f t="shared" si="64"/>
        <v>10147</v>
      </c>
      <c r="BY50" s="131">
        <f t="shared" si="65"/>
        <v>26147</v>
      </c>
      <c r="BZ50" s="123">
        <f t="shared" si="66"/>
        <v>9700</v>
      </c>
      <c r="CA50" s="123">
        <f t="shared" si="66"/>
        <v>2490</v>
      </c>
      <c r="CB50" s="132">
        <f t="shared" si="67"/>
        <v>12190</v>
      </c>
    </row>
    <row r="51" spans="1:80" ht="25.5" x14ac:dyDescent="0.2">
      <c r="A51" s="121"/>
      <c r="B51" s="138" t="s">
        <v>70</v>
      </c>
      <c r="C51" s="123">
        <f>'[5]ПП ВДГ'!C51+'[5]Корсак Л.Р.'!C51+'[5]Корсак В.І.'!C51+[5]Конякіна!C51</f>
        <v>0</v>
      </c>
      <c r="D51" s="123">
        <f>'[5]ПП ВДГ'!D51+'[5]Корсак Л.Р.'!D51+'[5]Корсак В.І.'!D51+[5]Конякіна!D51</f>
        <v>0</v>
      </c>
      <c r="E51" s="139">
        <f t="shared" si="40"/>
        <v>0</v>
      </c>
      <c r="F51" s="126">
        <f>'Солар Вест'!F51+Будник!F51</f>
        <v>0</v>
      </c>
      <c r="G51" s="126">
        <f>'Солар Вест'!G51+Будник!G51</f>
        <v>0</v>
      </c>
      <c r="H51" s="140">
        <f t="shared" si="41"/>
        <v>0</v>
      </c>
      <c r="I51" s="123">
        <f>'[5]ПП ВДГ'!I51+'[5]Корсак Л.Р.'!I51+'[5]Корсак В.І.'!I51+[5]Конякіна!I51</f>
        <v>0</v>
      </c>
      <c r="J51" s="123">
        <f>'[5]ПП ВДГ'!J51+'[5]Корсак Л.Р.'!J51+'[5]Корсак В.І.'!J51+[5]Конякіна!J51</f>
        <v>0</v>
      </c>
      <c r="K51" s="139">
        <f t="shared" si="42"/>
        <v>0</v>
      </c>
      <c r="L51" s="126">
        <f>'Солар Вест'!L51+Будник!L51</f>
        <v>0</v>
      </c>
      <c r="M51" s="126">
        <f>'Солар Вест'!M51+Будник!M51</f>
        <v>0</v>
      </c>
      <c r="N51" s="140">
        <f t="shared" si="43"/>
        <v>0</v>
      </c>
      <c r="O51" s="123">
        <f>'[5]ПП ВДГ'!O51+'[5]Корсак Л.Р.'!O51+'[5]Корсак В.І.'!O51+[5]Конякіна!O51</f>
        <v>0</v>
      </c>
      <c r="P51" s="123">
        <f>'[5]ПП ВДГ'!P51+'[5]Корсак Л.Р.'!P51+'[5]Корсак В.І.'!P51+[5]Конякіна!P51</f>
        <v>0</v>
      </c>
      <c r="Q51" s="139">
        <f t="shared" si="44"/>
        <v>0</v>
      </c>
      <c r="R51" s="126">
        <f>'Солар Вест'!R51+Будник!R51</f>
        <v>0</v>
      </c>
      <c r="S51" s="126">
        <f>'Солар Вест'!S51+Будник!S51</f>
        <v>0</v>
      </c>
      <c r="T51" s="140">
        <f t="shared" si="45"/>
        <v>0</v>
      </c>
      <c r="U51" s="123">
        <f>'[5]ПП ВДГ'!U51+'[5]Корсак Л.Р.'!U51+'[5]Корсак В.І.'!U51+[5]Конякіна!U51</f>
        <v>0</v>
      </c>
      <c r="V51" s="123">
        <f>'[5]ПП ВДГ'!V51+'[5]Корсак Л.Р.'!V51+'[5]Корсак В.І.'!V51+[5]Конякіна!V51</f>
        <v>0</v>
      </c>
      <c r="W51" s="139">
        <f t="shared" si="46"/>
        <v>0</v>
      </c>
      <c r="X51" s="126">
        <f>'Солар Вест'!X51+Будник!X51</f>
        <v>0</v>
      </c>
      <c r="Y51" s="126">
        <f>'Солар Вест'!Y51+Будник!Y51</f>
        <v>0</v>
      </c>
      <c r="Z51" s="140">
        <f t="shared" si="47"/>
        <v>0</v>
      </c>
      <c r="AA51" s="123">
        <f>'[5]ПП ВДГ'!AA51+'[5]Корсак Л.Р.'!AA51+'[5]Корсак В.І.'!AA51+[5]Конякіна!AA51</f>
        <v>0</v>
      </c>
      <c r="AB51" s="123">
        <f>'[5]ПП ВДГ'!AB51+'[5]Корсак Л.Р.'!AB51+'[5]Корсак В.І.'!AB51+[5]Конякіна!AB51</f>
        <v>0</v>
      </c>
      <c r="AC51" s="139">
        <f t="shared" si="48"/>
        <v>0</v>
      </c>
      <c r="AD51" s="126">
        <f>'Солар Вест'!AD51+Будник!AD51</f>
        <v>0</v>
      </c>
      <c r="AE51" s="126">
        <f>'Солар Вест'!AE51+Будник!AE51</f>
        <v>0</v>
      </c>
      <c r="AF51" s="140">
        <f t="shared" si="49"/>
        <v>0</v>
      </c>
      <c r="AG51" s="123">
        <f>'[5]ПП ВДГ'!AG51+'[5]Корсак Л.Р.'!AG51+'[5]Корсак В.І.'!AG51+[5]Конякіна!AG51</f>
        <v>0</v>
      </c>
      <c r="AH51" s="123">
        <f>'[5]ПП ВДГ'!AH51+'[5]Корсак Л.Р.'!AH51+'[5]Корсак В.І.'!AH51+[5]Конякіна!AH51</f>
        <v>0</v>
      </c>
      <c r="AI51" s="139">
        <f t="shared" si="50"/>
        <v>0</v>
      </c>
      <c r="AJ51" s="126">
        <f>'Солар Вест'!AJ51+Будник!AJ51</f>
        <v>0</v>
      </c>
      <c r="AK51" s="126">
        <f>'Солар Вест'!AK51+Будник!AK51</f>
        <v>0</v>
      </c>
      <c r="AL51" s="140">
        <f t="shared" si="51"/>
        <v>0</v>
      </c>
      <c r="AM51" s="123">
        <f>'[5]ПП ВДГ'!AM51+'[5]Корсак Л.Р.'!AM51+'[5]Корсак В.І.'!AM51+[5]Конякіна!AM51</f>
        <v>0</v>
      </c>
      <c r="AN51" s="123">
        <f>'[5]ПП ВДГ'!AN51+'[5]Корсак Л.Р.'!AN51+'[5]Корсак В.І.'!AN51+[5]Конякіна!AN51</f>
        <v>0</v>
      </c>
      <c r="AO51" s="139">
        <f t="shared" si="52"/>
        <v>0</v>
      </c>
      <c r="AP51" s="126">
        <f>'Солар Вест'!AP51+Будник!AP51</f>
        <v>0</v>
      </c>
      <c r="AQ51" s="126">
        <f>'Солар Вест'!AQ51+Будник!AQ51</f>
        <v>0</v>
      </c>
      <c r="AR51" s="140">
        <f t="shared" si="53"/>
        <v>0</v>
      </c>
      <c r="AS51" s="123">
        <f>'[5]ПП ВДГ'!AS51+'[5]Корсак Л.Р.'!AS51+'[5]Корсак В.І.'!AS51+[5]Конякіна!AS51</f>
        <v>0</v>
      </c>
      <c r="AT51" s="123">
        <f>'[5]ПП ВДГ'!AT51+'[5]Корсак Л.Р.'!AT51+'[5]Корсак В.І.'!AT51+[5]Конякіна!AT51</f>
        <v>0</v>
      </c>
      <c r="AU51" s="139">
        <f t="shared" si="54"/>
        <v>0</v>
      </c>
      <c r="AV51" s="126">
        <f>'Солар Вест'!AV51+Будник!AV51</f>
        <v>0</v>
      </c>
      <c r="AW51" s="126">
        <f>'Солар Вест'!AW51+Будник!AW51</f>
        <v>0</v>
      </c>
      <c r="AX51" s="140">
        <f t="shared" si="55"/>
        <v>0</v>
      </c>
      <c r="AY51" s="123">
        <f>'[5]ПП ВДГ'!AY51+'[5]Корсак Л.Р.'!AY51+'[5]Корсак В.І.'!AY51+[5]Конякіна!AY51</f>
        <v>0</v>
      </c>
      <c r="AZ51" s="123">
        <f>'[5]ПП ВДГ'!AZ51+'[5]Корсак Л.Р.'!AZ51+'[5]Корсак В.І.'!AZ51+[5]Конякіна!AZ51</f>
        <v>0</v>
      </c>
      <c r="BA51" s="139">
        <f t="shared" si="56"/>
        <v>0</v>
      </c>
      <c r="BB51" s="126">
        <f>'Солар Вест'!BB51+Будник!BB51</f>
        <v>0</v>
      </c>
      <c r="BC51" s="126">
        <f>'Солар Вест'!BC51+Будник!BC51</f>
        <v>0</v>
      </c>
      <c r="BD51" s="140">
        <f t="shared" si="57"/>
        <v>0</v>
      </c>
      <c r="BE51" s="126">
        <f>'Солар Вест'!BE51+Будник!BE51</f>
        <v>0</v>
      </c>
      <c r="BF51" s="126">
        <f>'Солар Вест'!BF51+Будник!BF51</f>
        <v>0</v>
      </c>
      <c r="BG51" s="139">
        <f t="shared" si="58"/>
        <v>0</v>
      </c>
      <c r="BH51" s="126">
        <f>'Солар Вест'!BH51+Будник!BH51</f>
        <v>0</v>
      </c>
      <c r="BI51" s="126">
        <f>'Солар Вест'!BI51+Будник!BI51</f>
        <v>0</v>
      </c>
      <c r="BJ51" s="140">
        <f t="shared" si="59"/>
        <v>0</v>
      </c>
      <c r="BK51" s="123">
        <f>'[5]ПП ВДГ'!BK51+'[5]Корсак Л.Р.'!BK51+'[5]Корсак В.І.'!BK51+[5]Конякіна!BK51</f>
        <v>0</v>
      </c>
      <c r="BL51" s="123">
        <f>'[5]ПП ВДГ'!BL51+'[5]Корсак Л.Р.'!BL51+'[5]Корсак В.І.'!BL51+[5]Конякіна!BL51</f>
        <v>0</v>
      </c>
      <c r="BM51" s="139">
        <f t="shared" si="60"/>
        <v>0</v>
      </c>
      <c r="BN51" s="126">
        <f>'Солар Вест'!BN51+Будник!BN51</f>
        <v>0</v>
      </c>
      <c r="BO51" s="126">
        <f>'Солар Вест'!BO51+Будник!BO51</f>
        <v>0</v>
      </c>
      <c r="BP51" s="140">
        <f t="shared" si="61"/>
        <v>0</v>
      </c>
      <c r="BQ51" s="123">
        <f>'[5]ПП ВДГ'!BQ51+'[5]Корсак Л.Р.'!BQ51+'[5]Корсак В.І.'!BQ51+[5]Конякіна!BQ51</f>
        <v>0</v>
      </c>
      <c r="BR51" s="123">
        <f>'[5]ПП ВДГ'!BR51+'[5]Корсак Л.Р.'!BR51+'[5]Корсак В.І.'!BR51+[5]Конякіна!BR51</f>
        <v>0</v>
      </c>
      <c r="BS51" s="139">
        <f t="shared" si="62"/>
        <v>0</v>
      </c>
      <c r="BT51" s="126">
        <f>'Солар Вест'!BT51+Будник!BT51</f>
        <v>0</v>
      </c>
      <c r="BU51" s="126">
        <f>'Солар Вест'!BU51+Будник!BU51</f>
        <v>0</v>
      </c>
      <c r="BV51" s="140">
        <f t="shared" si="63"/>
        <v>0</v>
      </c>
      <c r="BW51" s="123">
        <f t="shared" si="64"/>
        <v>0</v>
      </c>
      <c r="BX51" s="123">
        <f t="shared" si="64"/>
        <v>0</v>
      </c>
      <c r="BY51" s="139">
        <f t="shared" si="65"/>
        <v>0</v>
      </c>
      <c r="BZ51" s="123">
        <f t="shared" si="66"/>
        <v>0</v>
      </c>
      <c r="CA51" s="123">
        <f t="shared" si="66"/>
        <v>0</v>
      </c>
      <c r="CB51" s="140">
        <f t="shared" si="67"/>
        <v>0</v>
      </c>
    </row>
    <row r="52" spans="1:80" ht="25.5" x14ac:dyDescent="0.2">
      <c r="A52" s="121">
        <v>131</v>
      </c>
      <c r="B52" s="130" t="s">
        <v>71</v>
      </c>
      <c r="C52" s="123">
        <f>'[5]ПП ВДГ'!C52+'[5]Корсак Л.Р.'!C52+'[5]Корсак В.І.'!C52+[5]Конякіна!C52</f>
        <v>0</v>
      </c>
      <c r="D52" s="123">
        <f>'[5]ПП ВДГ'!D52+'[5]Корсак Л.Р.'!D52+'[5]Корсак В.І.'!D52+[5]Конякіна!D52</f>
        <v>0</v>
      </c>
      <c r="E52" s="131">
        <f t="shared" si="40"/>
        <v>0</v>
      </c>
      <c r="F52" s="128">
        <f>'Солар Вест'!F52+Будник!F52</f>
        <v>0</v>
      </c>
      <c r="G52" s="128">
        <f>'Солар Вест'!G52+Будник!G52</f>
        <v>0</v>
      </c>
      <c r="H52" s="132">
        <f t="shared" si="41"/>
        <v>0</v>
      </c>
      <c r="I52" s="123">
        <f>'[5]ПП ВДГ'!I52+'[5]Корсак Л.Р.'!I52+'[5]Корсак В.І.'!I52+[5]Конякіна!I52</f>
        <v>0</v>
      </c>
      <c r="J52" s="123">
        <f>'[5]ПП ВДГ'!J52+'[5]Корсак Л.Р.'!J52+'[5]Корсак В.І.'!J52+[5]Конякіна!J52</f>
        <v>0</v>
      </c>
      <c r="K52" s="131">
        <f t="shared" si="42"/>
        <v>0</v>
      </c>
      <c r="L52" s="128">
        <f>'Солар Вест'!L52+Будник!L52</f>
        <v>0</v>
      </c>
      <c r="M52" s="128">
        <f>'Солар Вест'!M52+Будник!M52</f>
        <v>0</v>
      </c>
      <c r="N52" s="132">
        <f t="shared" si="43"/>
        <v>0</v>
      </c>
      <c r="O52" s="123">
        <f>'[5]ПП ВДГ'!O52+'[5]Корсак Л.Р.'!O52+'[5]Корсак В.І.'!O52+[5]Конякіна!O52</f>
        <v>0</v>
      </c>
      <c r="P52" s="123">
        <f>'[5]ПП ВДГ'!P52+'[5]Корсак Л.Р.'!P52+'[5]Корсак В.І.'!P52+[5]Конякіна!P52</f>
        <v>0</v>
      </c>
      <c r="Q52" s="131">
        <f t="shared" si="44"/>
        <v>0</v>
      </c>
      <c r="R52" s="128">
        <f>'Солар Вест'!R52+Будник!R52</f>
        <v>0</v>
      </c>
      <c r="S52" s="128">
        <f>'Солар Вест'!S52+Будник!S52</f>
        <v>0</v>
      </c>
      <c r="T52" s="132">
        <f t="shared" si="45"/>
        <v>0</v>
      </c>
      <c r="U52" s="123">
        <f>'[5]ПП ВДГ'!U52+'[5]Корсак Л.Р.'!U52+'[5]Корсак В.І.'!U52+[5]Конякіна!U52</f>
        <v>9000</v>
      </c>
      <c r="V52" s="123">
        <f>'[5]ПП ВДГ'!V52+'[5]Корсак Л.Р.'!V52+'[5]Корсак В.І.'!V52+[5]Конякіна!V52</f>
        <v>0</v>
      </c>
      <c r="W52" s="131">
        <f t="shared" si="46"/>
        <v>9000</v>
      </c>
      <c r="X52" s="128">
        <f>'Солар Вест'!X52+Будник!X52</f>
        <v>0</v>
      </c>
      <c r="Y52" s="128">
        <f>'Солар Вест'!Y52+Будник!Y52</f>
        <v>2700</v>
      </c>
      <c r="Z52" s="132">
        <f t="shared" si="47"/>
        <v>2700</v>
      </c>
      <c r="AA52" s="123">
        <f>'[5]ПП ВДГ'!AA52+'[5]Корсак Л.Р.'!AA52+'[5]Корсак В.І.'!AA52+[5]Конякіна!AA52</f>
        <v>0</v>
      </c>
      <c r="AB52" s="123">
        <f>'[5]ПП ВДГ'!AB52+'[5]Корсак Л.Р.'!AB52+'[5]Корсак В.І.'!AB52+[5]Конякіна!AB52</f>
        <v>0</v>
      </c>
      <c r="AC52" s="131">
        <f t="shared" si="48"/>
        <v>0</v>
      </c>
      <c r="AD52" s="128">
        <f>'Солар Вест'!AD52+Будник!AD52</f>
        <v>5400.02</v>
      </c>
      <c r="AE52" s="128">
        <f>'Солар Вест'!AE52+Будник!AE52</f>
        <v>6000</v>
      </c>
      <c r="AF52" s="132">
        <f t="shared" si="49"/>
        <v>11400.02</v>
      </c>
      <c r="AG52" s="123">
        <f>'[5]ПП ВДГ'!AG52+'[5]Корсак Л.Р.'!AG52+'[5]Корсак В.І.'!AG52+[5]Конякіна!AG52</f>
        <v>8000</v>
      </c>
      <c r="AH52" s="123">
        <f>'[5]ПП ВДГ'!AH52+'[5]Корсак Л.Р.'!AH52+'[5]Корсак В.І.'!AH52+[5]Конякіна!AH52</f>
        <v>0</v>
      </c>
      <c r="AI52" s="131">
        <f t="shared" si="50"/>
        <v>8000</v>
      </c>
      <c r="AJ52" s="128">
        <f>'Солар Вест'!AJ52+Будник!AJ52</f>
        <v>0</v>
      </c>
      <c r="AK52" s="128">
        <f>'Солар Вест'!AK52+Будник!AK52</f>
        <v>9400</v>
      </c>
      <c r="AL52" s="132">
        <f t="shared" si="51"/>
        <v>9400</v>
      </c>
      <c r="AM52" s="123">
        <f>'[5]ПП ВДГ'!AM52+'[5]Корсак Л.Р.'!AM52+'[5]Корсак В.І.'!AM52+[5]Конякіна!AM52</f>
        <v>8000</v>
      </c>
      <c r="AN52" s="123">
        <f>'[5]ПП ВДГ'!AN52+'[5]Корсак Л.Р.'!AN52+'[5]Корсак В.І.'!AN52+[5]Конякіна!AN52</f>
        <v>0</v>
      </c>
      <c r="AO52" s="131">
        <f t="shared" si="52"/>
        <v>8000</v>
      </c>
      <c r="AP52" s="128">
        <f>'Солар Вест'!AP52+Будник!AP52</f>
        <v>0</v>
      </c>
      <c r="AQ52" s="128">
        <f>'Солар Вест'!AQ52+Будник!AQ52</f>
        <v>10039</v>
      </c>
      <c r="AR52" s="132">
        <f t="shared" si="53"/>
        <v>10039</v>
      </c>
      <c r="AS52" s="123">
        <f>'[5]ПП ВДГ'!AS52+'[5]Корсак Л.Р.'!AS52+'[5]Корсак В.І.'!AS52+[5]Конякіна!AS52</f>
        <v>7000</v>
      </c>
      <c r="AT52" s="123">
        <f>'[5]ПП ВДГ'!AT52+'[5]Корсак Л.Р.'!AT52+'[5]Корсак В.І.'!AT52+[5]Конякіна!AT52</f>
        <v>0</v>
      </c>
      <c r="AU52" s="131">
        <f t="shared" si="54"/>
        <v>7000</v>
      </c>
      <c r="AV52" s="128">
        <f>'Солар Вест'!AV52+Будник!AV52</f>
        <v>0</v>
      </c>
      <c r="AW52" s="128">
        <f>'Солар Вест'!AW52+Будник!AW52</f>
        <v>23959</v>
      </c>
      <c r="AX52" s="132">
        <f t="shared" si="55"/>
        <v>23959</v>
      </c>
      <c r="AY52" s="123">
        <f>'[5]ПП ВДГ'!AY52+'[5]Корсак Л.Р.'!AY52+'[5]Корсак В.І.'!AY52+[5]Конякіна!AY52</f>
        <v>0</v>
      </c>
      <c r="AZ52" s="123">
        <f>'[5]ПП ВДГ'!AZ52+'[5]Корсак Л.Р.'!AZ52+'[5]Корсак В.І.'!AZ52+[5]Конякіна!AZ52</f>
        <v>0</v>
      </c>
      <c r="BA52" s="131">
        <f t="shared" si="56"/>
        <v>0</v>
      </c>
      <c r="BB52" s="128">
        <f>'Солар Вест'!BB52+Будник!BB52</f>
        <v>7740</v>
      </c>
      <c r="BC52" s="128">
        <f>'Солар Вест'!BC52+Будник!BC52</f>
        <v>4410</v>
      </c>
      <c r="BD52" s="132">
        <f t="shared" si="57"/>
        <v>12150</v>
      </c>
      <c r="BE52" s="128">
        <f>'Солар Вест'!BE52+Будник!BE52</f>
        <v>30532.02</v>
      </c>
      <c r="BF52" s="128">
        <f>'Солар Вест'!BF52+Будник!BF52</f>
        <v>4690</v>
      </c>
      <c r="BG52" s="131">
        <f t="shared" si="58"/>
        <v>35222.020000000004</v>
      </c>
      <c r="BH52" s="128">
        <f>'Солар Вест'!BH52+Будник!BH52</f>
        <v>0</v>
      </c>
      <c r="BI52" s="128">
        <f>'Солар Вест'!BI52+Будник!BI52</f>
        <v>0</v>
      </c>
      <c r="BJ52" s="132">
        <f t="shared" si="59"/>
        <v>0</v>
      </c>
      <c r="BK52" s="123">
        <f>'[5]ПП ВДГ'!BK52+'[5]Корсак Л.Р.'!BK52+'[5]Корсак В.І.'!BK52+[5]Конякіна!BK52</f>
        <v>7000</v>
      </c>
      <c r="BL52" s="123">
        <f>'[5]ПП ВДГ'!BL52+'[5]Корсак Л.Р.'!BL52+'[5]Корсак В.І.'!BL52+[5]Конякіна!BL52</f>
        <v>0</v>
      </c>
      <c r="BM52" s="131">
        <f t="shared" si="60"/>
        <v>7000</v>
      </c>
      <c r="BN52" s="128">
        <f>'Солар Вест'!BN52+Будник!BN52</f>
        <v>0</v>
      </c>
      <c r="BO52" s="128">
        <f>'Солар Вест'!BO52+Будник!BO52</f>
        <v>0</v>
      </c>
      <c r="BP52" s="132">
        <f t="shared" si="61"/>
        <v>0</v>
      </c>
      <c r="BQ52" s="123">
        <f>'[5]ПП ВДГ'!BQ52+'[5]Корсак Л.Р.'!BQ52+'[5]Корсак В.І.'!BQ52+[5]Конякіна!BQ52</f>
        <v>7500</v>
      </c>
      <c r="BR52" s="123">
        <f>'[5]ПП ВДГ'!BR52+'[5]Корсак Л.Р.'!BR52+'[5]Корсак В.І.'!BR52+[5]Конякіна!BR52</f>
        <v>0</v>
      </c>
      <c r="BS52" s="131">
        <f t="shared" si="62"/>
        <v>7500</v>
      </c>
      <c r="BT52" s="128">
        <f>'Солар Вест'!BT52+Будник!BT52</f>
        <v>0</v>
      </c>
      <c r="BU52" s="128">
        <f>'Солар Вест'!BU52+Будник!BU52</f>
        <v>0</v>
      </c>
      <c r="BV52" s="132">
        <f t="shared" si="63"/>
        <v>0</v>
      </c>
      <c r="BW52" s="123">
        <f t="shared" si="64"/>
        <v>77032.02</v>
      </c>
      <c r="BX52" s="123">
        <f t="shared" si="64"/>
        <v>4690</v>
      </c>
      <c r="BY52" s="131">
        <f t="shared" si="65"/>
        <v>81722.02</v>
      </c>
      <c r="BZ52" s="123">
        <f t="shared" si="66"/>
        <v>13140.02</v>
      </c>
      <c r="CA52" s="123">
        <f t="shared" si="66"/>
        <v>56508</v>
      </c>
      <c r="CB52" s="132">
        <f t="shared" si="67"/>
        <v>69648.02</v>
      </c>
    </row>
    <row r="53" spans="1:80" x14ac:dyDescent="0.2">
      <c r="A53" s="121">
        <v>132</v>
      </c>
      <c r="B53" s="130" t="s">
        <v>72</v>
      </c>
      <c r="C53" s="123">
        <f>'[5]ПП ВДГ'!C53+'[5]Корсак Л.Р.'!C53+'[5]Корсак В.І.'!C53+[5]Конякіна!C53</f>
        <v>3000</v>
      </c>
      <c r="D53" s="123">
        <f>'[5]ПП ВДГ'!D53+'[5]Корсак Л.Р.'!D53+'[5]Корсак В.І.'!D53+[5]Конякіна!D53</f>
        <v>4000</v>
      </c>
      <c r="E53" s="131">
        <f t="shared" si="40"/>
        <v>7000</v>
      </c>
      <c r="F53" s="128">
        <f>'Солар Вест'!F53+Будник!F53</f>
        <v>0</v>
      </c>
      <c r="G53" s="128">
        <f>'Солар Вест'!G53+Будник!G53</f>
        <v>0</v>
      </c>
      <c r="H53" s="132">
        <f t="shared" si="41"/>
        <v>0</v>
      </c>
      <c r="I53" s="123">
        <f>'[5]ПП ВДГ'!I53+'[5]Корсак Л.Р.'!I53+'[5]Корсак В.І.'!I53+[5]Конякіна!I53</f>
        <v>3000</v>
      </c>
      <c r="J53" s="123">
        <f>'[5]ПП ВДГ'!J53+'[5]Корсак Л.Р.'!J53+'[5]Корсак В.І.'!J53+[5]Конякіна!J53</f>
        <v>4000</v>
      </c>
      <c r="K53" s="131">
        <f t="shared" si="42"/>
        <v>7000</v>
      </c>
      <c r="L53" s="128">
        <f>'Солар Вест'!L53+Будник!L53</f>
        <v>0</v>
      </c>
      <c r="M53" s="128">
        <f>'Солар Вест'!M53+Будник!M53</f>
        <v>0</v>
      </c>
      <c r="N53" s="132">
        <f t="shared" si="43"/>
        <v>0</v>
      </c>
      <c r="O53" s="123">
        <f>'[5]ПП ВДГ'!O53+'[5]Корсак Л.Р.'!O53+'[5]Корсак В.І.'!O53+[5]Конякіна!O53</f>
        <v>3000</v>
      </c>
      <c r="P53" s="123">
        <f>'[5]ПП ВДГ'!P53+'[5]Корсак Л.Р.'!P53+'[5]Корсак В.І.'!P53+[5]Конякіна!P53</f>
        <v>4000</v>
      </c>
      <c r="Q53" s="131">
        <f t="shared" si="44"/>
        <v>7000</v>
      </c>
      <c r="R53" s="128">
        <f>'Солар Вест'!R53+Будник!R53</f>
        <v>0</v>
      </c>
      <c r="S53" s="128">
        <f>'Солар Вест'!S53+Будник!S53</f>
        <v>0</v>
      </c>
      <c r="T53" s="132">
        <f t="shared" si="45"/>
        <v>0</v>
      </c>
      <c r="U53" s="123">
        <f>'[5]ПП ВДГ'!U53+'[5]Корсак Л.Р.'!U53+'[5]Корсак В.І.'!U53+[5]Конякіна!U53</f>
        <v>10000</v>
      </c>
      <c r="V53" s="123">
        <f>'[5]ПП ВДГ'!V53+'[5]Корсак Л.Р.'!V53+'[5]Корсак В.І.'!V53+[5]Конякіна!V53</f>
        <v>8000</v>
      </c>
      <c r="W53" s="131">
        <f t="shared" si="46"/>
        <v>18000</v>
      </c>
      <c r="X53" s="128">
        <f>'Солар Вест'!X53+Будник!X53</f>
        <v>0</v>
      </c>
      <c r="Y53" s="128">
        <f>'Солар Вест'!Y53+Будник!Y53</f>
        <v>0</v>
      </c>
      <c r="Z53" s="132">
        <f t="shared" si="47"/>
        <v>0</v>
      </c>
      <c r="AA53" s="123">
        <f>'[5]ПП ВДГ'!AA53+'[5]Корсак Л.Р.'!AA53+'[5]Корсак В.І.'!AA53+[5]Конякіна!AA53</f>
        <v>3000</v>
      </c>
      <c r="AB53" s="123">
        <f>'[5]ПП ВДГ'!AB53+'[5]Корсак Л.Р.'!AB53+'[5]Корсак В.І.'!AB53+[5]Конякіна!AB53</f>
        <v>4000</v>
      </c>
      <c r="AC53" s="131">
        <f t="shared" si="48"/>
        <v>7000</v>
      </c>
      <c r="AD53" s="128">
        <f>'Солар Вест'!AD53+Будник!AD53</f>
        <v>0</v>
      </c>
      <c r="AE53" s="128">
        <f>'Солар Вест'!AE53+Будник!AE53</f>
        <v>0</v>
      </c>
      <c r="AF53" s="132">
        <f t="shared" si="49"/>
        <v>0</v>
      </c>
      <c r="AG53" s="123">
        <f>'[5]ПП ВДГ'!AG53+'[5]Корсак Л.Р.'!AG53+'[5]Корсак В.І.'!AG53+[5]Конякіна!AG53</f>
        <v>3000</v>
      </c>
      <c r="AH53" s="123">
        <f>'[5]ПП ВДГ'!AH53+'[5]Корсак Л.Р.'!AH53+'[5]Корсак В.І.'!AH53+[5]Конякіна!AH53</f>
        <v>4000</v>
      </c>
      <c r="AI53" s="131">
        <f t="shared" si="50"/>
        <v>7000</v>
      </c>
      <c r="AJ53" s="128">
        <f>'Солар Вест'!AJ53+Будник!AJ53</f>
        <v>0</v>
      </c>
      <c r="AK53" s="128">
        <f>'Солар Вест'!AK53+Будник!AK53</f>
        <v>3900</v>
      </c>
      <c r="AL53" s="132">
        <f t="shared" si="51"/>
        <v>3900</v>
      </c>
      <c r="AM53" s="123">
        <f>'[5]ПП ВДГ'!AM53+'[5]Корсак Л.Р.'!AM53+'[5]Корсак В.І.'!AM53+[5]Конякіна!AM53</f>
        <v>5000</v>
      </c>
      <c r="AN53" s="123">
        <f>'[5]ПП ВДГ'!AN53+'[5]Корсак Л.Р.'!AN53+'[5]Корсак В.І.'!AN53+[5]Конякіна!AN53</f>
        <v>9000</v>
      </c>
      <c r="AO53" s="131">
        <f t="shared" si="52"/>
        <v>14000</v>
      </c>
      <c r="AP53" s="128">
        <f>'Солар Вест'!AP53+Будник!AP53</f>
        <v>0</v>
      </c>
      <c r="AQ53" s="128">
        <f>'Солар Вест'!AQ53+Будник!AQ53</f>
        <v>7727</v>
      </c>
      <c r="AR53" s="132">
        <f t="shared" si="53"/>
        <v>7727</v>
      </c>
      <c r="AS53" s="123">
        <f>'[5]ПП ВДГ'!AS53+'[5]Корсак Л.Р.'!AS53+'[5]Корсак В.І.'!AS53+[5]Конякіна!AS53</f>
        <v>3000</v>
      </c>
      <c r="AT53" s="123">
        <f>'[5]ПП ВДГ'!AT53+'[5]Корсак Л.Р.'!AT53+'[5]Корсак В.І.'!AT53+[5]Конякіна!AT53</f>
        <v>4000</v>
      </c>
      <c r="AU53" s="131">
        <f t="shared" si="54"/>
        <v>7000</v>
      </c>
      <c r="AV53" s="128">
        <f>'Солар Вест'!AV53+Будник!AV53</f>
        <v>0</v>
      </c>
      <c r="AW53" s="128">
        <f>'Солар Вест'!AW53+Будник!AW53</f>
        <v>10200</v>
      </c>
      <c r="AX53" s="132">
        <f t="shared" si="55"/>
        <v>10200</v>
      </c>
      <c r="AY53" s="123">
        <f>'[5]ПП ВДГ'!AY53+'[5]Корсак Л.Р.'!AY53+'[5]Корсак В.І.'!AY53+[5]Конякіна!AY53</f>
        <v>3000</v>
      </c>
      <c r="AZ53" s="123">
        <f>'[5]ПП ВДГ'!AZ53+'[5]Корсак Л.Р.'!AZ53+'[5]Корсак В.І.'!AZ53+[5]Конякіна!AZ53</f>
        <v>4000</v>
      </c>
      <c r="BA53" s="131">
        <f t="shared" si="56"/>
        <v>7000</v>
      </c>
      <c r="BB53" s="128">
        <f>'Солар Вест'!BB53+Будник!BB53</f>
        <v>0</v>
      </c>
      <c r="BC53" s="128">
        <f>'Солар Вест'!BC53+Будник!BC53</f>
        <v>0</v>
      </c>
      <c r="BD53" s="132">
        <f t="shared" si="57"/>
        <v>0</v>
      </c>
      <c r="BE53" s="128">
        <f>'Солар Вест'!BE53+Будник!BE53</f>
        <v>0</v>
      </c>
      <c r="BF53" s="128">
        <f>'Солар Вест'!BF53+Будник!BF53</f>
        <v>190</v>
      </c>
      <c r="BG53" s="131">
        <f t="shared" si="58"/>
        <v>190</v>
      </c>
      <c r="BH53" s="128">
        <f>'Солар Вест'!BH53+Будник!BH53</f>
        <v>0</v>
      </c>
      <c r="BI53" s="128">
        <f>'Солар Вест'!BI53+Будник!BI53</f>
        <v>0</v>
      </c>
      <c r="BJ53" s="132">
        <f t="shared" si="59"/>
        <v>0</v>
      </c>
      <c r="BK53" s="123">
        <f>'[5]ПП ВДГ'!BK53+'[5]Корсак Л.Р.'!BK53+'[5]Корсак В.І.'!BK53+[5]Конякіна!BK53</f>
        <v>3000</v>
      </c>
      <c r="BL53" s="123">
        <f>'[5]ПП ВДГ'!BL53+'[5]Корсак Л.Р.'!BL53+'[5]Корсак В.І.'!BL53+[5]Конякіна!BL53</f>
        <v>4000</v>
      </c>
      <c r="BM53" s="131">
        <f t="shared" si="60"/>
        <v>7000</v>
      </c>
      <c r="BN53" s="128">
        <f>'Солар Вест'!BN53+Будник!BN53</f>
        <v>0</v>
      </c>
      <c r="BO53" s="128">
        <f>'Солар Вест'!BO53+Будник!BO53</f>
        <v>0</v>
      </c>
      <c r="BP53" s="132">
        <f t="shared" si="61"/>
        <v>0</v>
      </c>
      <c r="BQ53" s="123">
        <f>'[5]ПП ВДГ'!BQ53+'[5]Корсак Л.Р.'!BQ53+'[5]Корсак В.І.'!BQ53+[5]Конякіна!BQ53</f>
        <v>4000</v>
      </c>
      <c r="BR53" s="123">
        <f>'[5]ПП ВДГ'!BR53+'[5]Корсак Л.Р.'!BR53+'[5]Корсак В.І.'!BR53+[5]Конякіна!BR53</f>
        <v>4000</v>
      </c>
      <c r="BS53" s="131">
        <f t="shared" si="62"/>
        <v>8000</v>
      </c>
      <c r="BT53" s="128">
        <f>'Солар Вест'!BT53+Будник!BT53</f>
        <v>0</v>
      </c>
      <c r="BU53" s="128">
        <f>'Солар Вест'!BU53+Будник!BU53</f>
        <v>0</v>
      </c>
      <c r="BV53" s="132">
        <f t="shared" si="63"/>
        <v>0</v>
      </c>
      <c r="BW53" s="123">
        <f t="shared" si="64"/>
        <v>43000</v>
      </c>
      <c r="BX53" s="123">
        <f t="shared" si="64"/>
        <v>53190</v>
      </c>
      <c r="BY53" s="131">
        <f t="shared" si="65"/>
        <v>96190</v>
      </c>
      <c r="BZ53" s="123">
        <f t="shared" si="66"/>
        <v>0</v>
      </c>
      <c r="CA53" s="123">
        <f t="shared" si="66"/>
        <v>21827</v>
      </c>
      <c r="CB53" s="132">
        <f t="shared" si="67"/>
        <v>21827</v>
      </c>
    </row>
    <row r="54" spans="1:80" x14ac:dyDescent="0.2">
      <c r="A54" s="121">
        <v>133</v>
      </c>
      <c r="B54" s="130" t="s">
        <v>73</v>
      </c>
      <c r="C54" s="123">
        <f>'[5]ПП ВДГ'!C54+'[5]Корсак Л.Р.'!C54+'[5]Корсак В.І.'!C54+[5]Конякіна!C54</f>
        <v>885</v>
      </c>
      <c r="D54" s="123">
        <f>'[5]ПП ВДГ'!D54+'[5]Корсак Л.Р.'!D54+'[5]Корсак В.І.'!D54+[5]Конякіна!D54</f>
        <v>305</v>
      </c>
      <c r="E54" s="131">
        <f t="shared" si="40"/>
        <v>1190</v>
      </c>
      <c r="F54" s="128">
        <f>'Солар Вест'!F54+Будник!F54</f>
        <v>467.45</v>
      </c>
      <c r="G54" s="128">
        <f>'Солар Вест'!G54+Будник!G54</f>
        <v>0</v>
      </c>
      <c r="H54" s="132">
        <f t="shared" si="41"/>
        <v>467.45</v>
      </c>
      <c r="I54" s="123">
        <f>'[5]ПП ВДГ'!I54+'[5]Корсак Л.Р.'!I54+'[5]Корсак В.І.'!I54+[5]Конякіна!I54</f>
        <v>885</v>
      </c>
      <c r="J54" s="123">
        <f>'[5]ПП ВДГ'!J54+'[5]Корсак Л.Р.'!J54+'[5]Корсак В.І.'!J54+[5]Конякіна!J54</f>
        <v>305</v>
      </c>
      <c r="K54" s="131">
        <f t="shared" si="42"/>
        <v>1190</v>
      </c>
      <c r="L54" s="128">
        <f>'Солар Вест'!L54+Будник!L54</f>
        <v>600.45000000000005</v>
      </c>
      <c r="M54" s="128">
        <f>'Солар Вест'!M54+Будник!M54</f>
        <v>0</v>
      </c>
      <c r="N54" s="132">
        <f t="shared" si="43"/>
        <v>600.45000000000005</v>
      </c>
      <c r="O54" s="123">
        <f>'[5]ПП ВДГ'!O54+'[5]Корсак Л.Р.'!O54+'[5]Корсак В.І.'!O54+[5]Конякіна!O54</f>
        <v>885</v>
      </c>
      <c r="P54" s="123">
        <f>'[5]ПП ВДГ'!P54+'[5]Корсак Л.Р.'!P54+'[5]Корсак В.І.'!P54+[5]Конякіна!P54</f>
        <v>305</v>
      </c>
      <c r="Q54" s="131">
        <f t="shared" si="44"/>
        <v>1190</v>
      </c>
      <c r="R54" s="128">
        <f>'Солар Вест'!R54+Будник!R54</f>
        <v>2245.08</v>
      </c>
      <c r="S54" s="128">
        <f>'Солар Вест'!S54+Будник!S54</f>
        <v>0</v>
      </c>
      <c r="T54" s="132">
        <f t="shared" si="45"/>
        <v>2245.08</v>
      </c>
      <c r="U54" s="123">
        <f>'[5]ПП ВДГ'!U54+'[5]Корсак Л.Р.'!U54+'[5]Корсак В.І.'!U54+[5]Конякіна!U54</f>
        <v>450</v>
      </c>
      <c r="V54" s="123">
        <f>'[5]ПП ВДГ'!V54+'[5]Корсак Л.Р.'!V54+'[5]Корсак В.І.'!V54+[5]Конякіна!V54</f>
        <v>568</v>
      </c>
      <c r="W54" s="131">
        <f t="shared" si="46"/>
        <v>1018</v>
      </c>
      <c r="X54" s="128">
        <f>'Солар Вест'!X54+Будник!X54</f>
        <v>1239.99</v>
      </c>
      <c r="Y54" s="128">
        <f>'Солар Вест'!Y54+Будник!Y54</f>
        <v>0</v>
      </c>
      <c r="Z54" s="132">
        <f t="shared" si="47"/>
        <v>1239.99</v>
      </c>
      <c r="AA54" s="123">
        <f>'[5]ПП ВДГ'!AA54+'[5]Корсак Л.Р.'!AA54+'[5]Корсак В.І.'!AA54+[5]Конякіна!AA54</f>
        <v>885</v>
      </c>
      <c r="AB54" s="123">
        <f>'[5]ПП ВДГ'!AB54+'[5]Корсак Л.Р.'!AB54+'[5]Корсак В.І.'!AB54+[5]Конякіна!AB54</f>
        <v>305</v>
      </c>
      <c r="AC54" s="131">
        <f t="shared" si="48"/>
        <v>1190</v>
      </c>
      <c r="AD54" s="128">
        <f>'Солар Вест'!AD54+Будник!AD54</f>
        <v>2563.94</v>
      </c>
      <c r="AE54" s="128">
        <f>'Солар Вест'!AE54+Будник!AE54</f>
        <v>0</v>
      </c>
      <c r="AF54" s="132">
        <f t="shared" si="49"/>
        <v>2563.94</v>
      </c>
      <c r="AG54" s="123">
        <f>'[5]ПП ВДГ'!AG54+'[5]Корсак Л.Р.'!AG54+'[5]Корсак В.І.'!AG54+[5]Конякіна!AG54</f>
        <v>885</v>
      </c>
      <c r="AH54" s="123">
        <f>'[5]ПП ВДГ'!AH54+'[5]Корсак Л.Р.'!AH54+'[5]Корсак В.І.'!AH54+[5]Конякіна!AH54</f>
        <v>232</v>
      </c>
      <c r="AI54" s="131">
        <f t="shared" si="50"/>
        <v>1117</v>
      </c>
      <c r="AJ54" s="128">
        <f>'Солар Вест'!AJ54+Будник!AJ54</f>
        <v>3561.35</v>
      </c>
      <c r="AK54" s="128">
        <f>'Солар Вест'!AK54+Будник!AK54</f>
        <v>1003</v>
      </c>
      <c r="AL54" s="132">
        <f t="shared" si="51"/>
        <v>4564.3500000000004</v>
      </c>
      <c r="AM54" s="123">
        <f>'[5]ПП ВДГ'!AM54+'[5]Корсак Л.Р.'!AM54+'[5]Корсак В.І.'!AM54+[5]Конякіна!AM54</f>
        <v>885</v>
      </c>
      <c r="AN54" s="123">
        <f>'[5]ПП ВДГ'!AN54+'[5]Корсак Л.Р.'!AN54+'[5]Корсак В.І.'!AN54+[5]Конякіна!AN54</f>
        <v>235</v>
      </c>
      <c r="AO54" s="131">
        <f t="shared" si="52"/>
        <v>1120</v>
      </c>
      <c r="AP54" s="128">
        <f>'Солар Вест'!AP54+Будник!AP54</f>
        <v>1292</v>
      </c>
      <c r="AQ54" s="128">
        <f>'Солар Вест'!AQ54+Будник!AQ54</f>
        <v>0</v>
      </c>
      <c r="AR54" s="132">
        <f t="shared" si="53"/>
        <v>1292</v>
      </c>
      <c r="AS54" s="123">
        <f>'[5]ПП ВДГ'!AS54+'[5]Корсак Л.Р.'!AS54+'[5]Корсак В.І.'!AS54+[5]Конякіна!AS54</f>
        <v>1085</v>
      </c>
      <c r="AT54" s="123">
        <f>'[5]ПП ВДГ'!AT54+'[5]Корсак Л.Р.'!AT54+'[5]Корсак В.І.'!AT54+[5]Конякіна!AT54</f>
        <v>235</v>
      </c>
      <c r="AU54" s="131">
        <f t="shared" si="54"/>
        <v>1320</v>
      </c>
      <c r="AV54" s="128">
        <f>'Солар Вест'!AV54+Будник!AV54</f>
        <v>1755.82</v>
      </c>
      <c r="AW54" s="128">
        <f>'Солар Вест'!AW54+Будник!AW54</f>
        <v>0</v>
      </c>
      <c r="AX54" s="132">
        <f t="shared" si="55"/>
        <v>1755.82</v>
      </c>
      <c r="AY54" s="123">
        <f>'[5]ПП ВДГ'!AY54+'[5]Корсак Л.Р.'!AY54+'[5]Корсак В.І.'!AY54+[5]Конякіна!AY54</f>
        <v>885</v>
      </c>
      <c r="AZ54" s="123">
        <f>'[5]ПП ВДГ'!AZ54+'[5]Корсак Л.Р.'!AZ54+'[5]Корсак В.І.'!AZ54+[5]Конякіна!AZ54</f>
        <v>305</v>
      </c>
      <c r="BA54" s="131">
        <f t="shared" si="56"/>
        <v>1190</v>
      </c>
      <c r="BB54" s="128">
        <f>'Солар Вест'!BB54+Будник!BB54</f>
        <v>1649.45</v>
      </c>
      <c r="BC54" s="128">
        <f>'Солар Вест'!BC54+Будник!BC54</f>
        <v>0</v>
      </c>
      <c r="BD54" s="132">
        <f t="shared" si="57"/>
        <v>1649.45</v>
      </c>
      <c r="BE54" s="128">
        <f>'Солар Вест'!BE54+Будник!BE54</f>
        <v>1320.77</v>
      </c>
      <c r="BF54" s="128">
        <f>'Солар Вест'!BF54+Будник!BF54</f>
        <v>0</v>
      </c>
      <c r="BG54" s="131">
        <f t="shared" si="58"/>
        <v>1320.77</v>
      </c>
      <c r="BH54" s="128">
        <f>'Солар Вест'!BH54+Будник!BH54</f>
        <v>0</v>
      </c>
      <c r="BI54" s="128">
        <f>'Солар Вест'!BI54+Будник!BI54</f>
        <v>0</v>
      </c>
      <c r="BJ54" s="132">
        <f t="shared" si="59"/>
        <v>0</v>
      </c>
      <c r="BK54" s="123">
        <f>'[5]ПП ВДГ'!BK54+'[5]Корсак Л.Р.'!BK54+'[5]Корсак В.І.'!BK54+[5]Конякіна!BK54</f>
        <v>835</v>
      </c>
      <c r="BL54" s="123">
        <f>'[5]ПП ВДГ'!BL54+'[5]Корсак Л.Р.'!BL54+'[5]Корсак В.І.'!BL54+[5]Конякіна!BL54</f>
        <v>232</v>
      </c>
      <c r="BM54" s="131">
        <f t="shared" si="60"/>
        <v>1067</v>
      </c>
      <c r="BN54" s="128">
        <f>'Солар Вест'!BN54+Будник!BN54</f>
        <v>0</v>
      </c>
      <c r="BO54" s="128">
        <f>'Солар Вест'!BO54+Будник!BO54</f>
        <v>0</v>
      </c>
      <c r="BP54" s="132">
        <f t="shared" si="61"/>
        <v>0</v>
      </c>
      <c r="BQ54" s="123">
        <f>'[5]ПП ВДГ'!BQ54+'[5]Корсак Л.Р.'!BQ54+'[5]Корсак В.І.'!BQ54+[5]Конякіна!BQ54</f>
        <v>800</v>
      </c>
      <c r="BR54" s="123">
        <f>'[5]ПП ВДГ'!BR54+'[5]Корсак Л.Р.'!BR54+'[5]Корсак В.І.'!BR54+[5]Конякіна!BR54</f>
        <v>330</v>
      </c>
      <c r="BS54" s="131">
        <f t="shared" si="62"/>
        <v>1130</v>
      </c>
      <c r="BT54" s="128">
        <f>'Солар Вест'!BT54+Будник!BT54</f>
        <v>0</v>
      </c>
      <c r="BU54" s="128">
        <f>'Солар Вест'!BU54+Будник!BU54</f>
        <v>0</v>
      </c>
      <c r="BV54" s="132">
        <f t="shared" si="63"/>
        <v>0</v>
      </c>
      <c r="BW54" s="123">
        <f t="shared" si="64"/>
        <v>10685.77</v>
      </c>
      <c r="BX54" s="123">
        <f t="shared" si="64"/>
        <v>3357</v>
      </c>
      <c r="BY54" s="131">
        <f t="shared" si="65"/>
        <v>14042.77</v>
      </c>
      <c r="BZ54" s="123">
        <f t="shared" si="66"/>
        <v>15375.53</v>
      </c>
      <c r="CA54" s="123">
        <f t="shared" si="66"/>
        <v>1003</v>
      </c>
      <c r="CB54" s="132">
        <f t="shared" si="67"/>
        <v>16378.53</v>
      </c>
    </row>
    <row r="55" spans="1:80" ht="25.5" x14ac:dyDescent="0.2">
      <c r="A55" s="121">
        <v>134</v>
      </c>
      <c r="B55" s="130" t="s">
        <v>74</v>
      </c>
      <c r="C55" s="123">
        <f>'[5]ПП ВДГ'!C55+'[5]Корсак Л.Р.'!C55+'[5]Корсак В.І.'!C55+[5]Конякіна!C55</f>
        <v>2610</v>
      </c>
      <c r="D55" s="123">
        <f>'[5]ПП ВДГ'!D55+'[5]Корсак Л.Р.'!D55+'[5]Корсак В.І.'!D55+[5]Конякіна!D55</f>
        <v>0</v>
      </c>
      <c r="E55" s="131">
        <f t="shared" si="40"/>
        <v>2610</v>
      </c>
      <c r="F55" s="128">
        <f>'Солар Вест'!F55+Будник!F55</f>
        <v>0</v>
      </c>
      <c r="G55" s="128">
        <f>'Солар Вест'!G55+Будник!G55</f>
        <v>385</v>
      </c>
      <c r="H55" s="132">
        <f t="shared" si="41"/>
        <v>385</v>
      </c>
      <c r="I55" s="123">
        <f>'[5]ПП ВДГ'!I55+'[5]Корсак Л.Р.'!I55+'[5]Корсак В.І.'!I55+[5]Конякіна!I55</f>
        <v>2610</v>
      </c>
      <c r="J55" s="123">
        <f>'[5]ПП ВДГ'!J55+'[5]Корсак Л.Р.'!J55+'[5]Корсак В.І.'!J55+[5]Конякіна!J55</f>
        <v>0</v>
      </c>
      <c r="K55" s="131">
        <f t="shared" si="42"/>
        <v>2610</v>
      </c>
      <c r="L55" s="128">
        <f>'Солар Вест'!L55+Будник!L55</f>
        <v>0</v>
      </c>
      <c r="M55" s="128">
        <f>'Солар Вест'!M55+Будник!M55</f>
        <v>750</v>
      </c>
      <c r="N55" s="132">
        <f t="shared" si="43"/>
        <v>750</v>
      </c>
      <c r="O55" s="123">
        <f>'[5]ПП ВДГ'!O55+'[5]Корсак Л.Р.'!O55+'[5]Корсак В.І.'!O55+[5]Конякіна!O55</f>
        <v>2610</v>
      </c>
      <c r="P55" s="123">
        <f>'[5]ПП ВДГ'!P55+'[5]Корсак Л.Р.'!P55+'[5]Корсак В.І.'!P55+[5]Конякіна!P55</f>
        <v>0</v>
      </c>
      <c r="Q55" s="131">
        <f t="shared" si="44"/>
        <v>2610</v>
      </c>
      <c r="R55" s="128">
        <f>'Солар Вест'!R55+Будник!R55</f>
        <v>0</v>
      </c>
      <c r="S55" s="128">
        <f>'Солар Вест'!S55+Будник!S55</f>
        <v>0</v>
      </c>
      <c r="T55" s="132">
        <f t="shared" si="45"/>
        <v>0</v>
      </c>
      <c r="U55" s="123">
        <f>'[5]ПП ВДГ'!U55+'[5]Корсак Л.Р.'!U55+'[5]Корсак В.І.'!U55+[5]Конякіна!U55</f>
        <v>4000</v>
      </c>
      <c r="V55" s="123">
        <f>'[5]ПП ВДГ'!V55+'[5]Корсак Л.Р.'!V55+'[5]Корсак В.І.'!V55+[5]Конякіна!V55</f>
        <v>0</v>
      </c>
      <c r="W55" s="131">
        <f t="shared" si="46"/>
        <v>4000</v>
      </c>
      <c r="X55" s="128">
        <f>'Солар Вест'!X55+Будник!X55</f>
        <v>0</v>
      </c>
      <c r="Y55" s="128">
        <f>'Солар Вест'!Y55+Будник!Y55</f>
        <v>0</v>
      </c>
      <c r="Z55" s="132">
        <f t="shared" si="47"/>
        <v>0</v>
      </c>
      <c r="AA55" s="123">
        <f>'[5]ПП ВДГ'!AA55+'[5]Корсак Л.Р.'!AA55+'[5]Корсак В.І.'!AA55+[5]Конякіна!AA55</f>
        <v>2610</v>
      </c>
      <c r="AB55" s="123">
        <f>'[5]ПП ВДГ'!AB55+'[5]Корсак Л.Р.'!AB55+'[5]Корсак В.І.'!AB55+[5]Конякіна!AB55</f>
        <v>0</v>
      </c>
      <c r="AC55" s="131">
        <f t="shared" si="48"/>
        <v>2610</v>
      </c>
      <c r="AD55" s="128">
        <f>'Солар Вест'!AD55+Будник!AD55</f>
        <v>0</v>
      </c>
      <c r="AE55" s="128">
        <f>'Солар Вест'!AE55+Будник!AE55</f>
        <v>0</v>
      </c>
      <c r="AF55" s="132">
        <f t="shared" si="49"/>
        <v>0</v>
      </c>
      <c r="AG55" s="123">
        <f>'[5]ПП ВДГ'!AG55+'[5]Корсак Л.Р.'!AG55+'[5]Корсак В.І.'!AG55+[5]Конякіна!AG55</f>
        <v>2610</v>
      </c>
      <c r="AH55" s="123">
        <f>'[5]ПП ВДГ'!AH55+'[5]Корсак Л.Р.'!AH55+'[5]Корсак В.І.'!AH55+[5]Конякіна!AH55</f>
        <v>0</v>
      </c>
      <c r="AI55" s="131">
        <f t="shared" si="50"/>
        <v>2610</v>
      </c>
      <c r="AJ55" s="128">
        <f>'Солар Вест'!AJ55+Будник!AJ55</f>
        <v>0</v>
      </c>
      <c r="AK55" s="128">
        <f>'Солар Вест'!AK55+Будник!AK55</f>
        <v>347</v>
      </c>
      <c r="AL55" s="132">
        <f t="shared" si="51"/>
        <v>347</v>
      </c>
      <c r="AM55" s="123">
        <f>'[5]ПП ВДГ'!AM55+'[5]Корсак Л.Р.'!AM55+'[5]Корсак В.І.'!AM55+[5]Конякіна!AM55</f>
        <v>3410</v>
      </c>
      <c r="AN55" s="123">
        <f>'[5]ПП ВДГ'!AN55+'[5]Корсак Л.Р.'!AN55+'[5]Корсак В.І.'!AN55+[5]Конякіна!AN55</f>
        <v>0</v>
      </c>
      <c r="AO55" s="131">
        <f t="shared" si="52"/>
        <v>3410</v>
      </c>
      <c r="AP55" s="128">
        <f>'Солар Вест'!AP55+Будник!AP55</f>
        <v>0</v>
      </c>
      <c r="AQ55" s="128">
        <f>'Солар Вест'!AQ55+Будник!AQ55</f>
        <v>0</v>
      </c>
      <c r="AR55" s="132">
        <f t="shared" si="53"/>
        <v>0</v>
      </c>
      <c r="AS55" s="123">
        <f>'[5]ПП ВДГ'!AS55+'[5]Корсак Л.Р.'!AS55+'[5]Корсак В.І.'!AS55+[5]Конякіна!AS55</f>
        <v>3310</v>
      </c>
      <c r="AT55" s="123">
        <f>'[5]ПП ВДГ'!AT55+'[5]Корсак Л.Р.'!AT55+'[5]Корсак В.І.'!AT55+[5]Конякіна!AT55</f>
        <v>0</v>
      </c>
      <c r="AU55" s="131">
        <f t="shared" si="54"/>
        <v>3310</v>
      </c>
      <c r="AV55" s="128">
        <f>'Солар Вест'!AV55+Будник!AV55</f>
        <v>0</v>
      </c>
      <c r="AW55" s="128">
        <f>'Солар Вест'!AW55+Будник!AW55</f>
        <v>0</v>
      </c>
      <c r="AX55" s="132">
        <f t="shared" si="55"/>
        <v>0</v>
      </c>
      <c r="AY55" s="123">
        <f>'[5]ПП ВДГ'!AY55+'[5]Корсак Л.Р.'!AY55+'[5]Корсак В.І.'!AY55+[5]Конякіна!AY55</f>
        <v>2610</v>
      </c>
      <c r="AZ55" s="123">
        <f>'[5]ПП ВДГ'!AZ55+'[5]Корсак Л.Р.'!AZ55+'[5]Корсак В.І.'!AZ55+[5]Конякіна!AZ55</f>
        <v>0</v>
      </c>
      <c r="BA55" s="131">
        <f t="shared" si="56"/>
        <v>2610</v>
      </c>
      <c r="BB55" s="128">
        <f>'Солар Вест'!BB55+Будник!BB55</f>
        <v>0</v>
      </c>
      <c r="BC55" s="128">
        <f>'Солар Вест'!BC55+Будник!BC55</f>
        <v>6165</v>
      </c>
      <c r="BD55" s="132">
        <f t="shared" si="57"/>
        <v>6165</v>
      </c>
      <c r="BE55" s="128">
        <f>'Солар Вест'!BE55+Будник!BE55</f>
        <v>0</v>
      </c>
      <c r="BF55" s="128">
        <f>'Солар Вест'!BF55+Будник!BF55</f>
        <v>14700</v>
      </c>
      <c r="BG55" s="131">
        <f t="shared" si="58"/>
        <v>14700</v>
      </c>
      <c r="BH55" s="128">
        <f>'Солар Вест'!BH55+Будник!BH55</f>
        <v>0</v>
      </c>
      <c r="BI55" s="128">
        <f>'Солар Вест'!BI55+Будник!BI55</f>
        <v>0</v>
      </c>
      <c r="BJ55" s="132">
        <f t="shared" si="59"/>
        <v>0</v>
      </c>
      <c r="BK55" s="123">
        <f>'[5]ПП ВДГ'!BK55+'[5]Корсак Л.Р.'!BK55+'[5]Корсак В.І.'!BK55+[5]Конякіна!BK55</f>
        <v>6010</v>
      </c>
      <c r="BL55" s="123">
        <f>'[5]ПП ВДГ'!BL55+'[5]Корсак Л.Р.'!BL55+'[5]Корсак В.І.'!BL55+[5]Конякіна!BL55</f>
        <v>0</v>
      </c>
      <c r="BM55" s="131">
        <f t="shared" si="60"/>
        <v>6010</v>
      </c>
      <c r="BN55" s="128">
        <f>'Солар Вест'!BN55+Будник!BN55</f>
        <v>0</v>
      </c>
      <c r="BO55" s="128">
        <f>'Солар Вест'!BO55+Будник!BO55</f>
        <v>0</v>
      </c>
      <c r="BP55" s="132">
        <f t="shared" si="61"/>
        <v>0</v>
      </c>
      <c r="BQ55" s="123">
        <f>'[5]ПП ВДГ'!BQ55+'[5]Корсак Л.Р.'!BQ55+'[5]Корсак В.І.'!BQ55+[5]Конякіна!BQ55</f>
        <v>6010</v>
      </c>
      <c r="BR55" s="123">
        <f>'[5]ПП ВДГ'!BR55+'[5]Корсак Л.Р.'!BR55+'[5]Корсак В.І.'!BR55+[5]Конякіна!BR55</f>
        <v>0</v>
      </c>
      <c r="BS55" s="131">
        <f t="shared" si="62"/>
        <v>6010</v>
      </c>
      <c r="BT55" s="128">
        <f>'Солар Вест'!BT55+Будник!BT55</f>
        <v>0</v>
      </c>
      <c r="BU55" s="128">
        <f>'Солар Вест'!BU55+Будник!BU55</f>
        <v>0</v>
      </c>
      <c r="BV55" s="132">
        <f t="shared" si="63"/>
        <v>0</v>
      </c>
      <c r="BW55" s="123">
        <f t="shared" si="64"/>
        <v>38400</v>
      </c>
      <c r="BX55" s="123">
        <f t="shared" si="64"/>
        <v>14700</v>
      </c>
      <c r="BY55" s="131">
        <f t="shared" si="65"/>
        <v>53100</v>
      </c>
      <c r="BZ55" s="123">
        <f t="shared" si="66"/>
        <v>0</v>
      </c>
      <c r="CA55" s="123">
        <f t="shared" si="66"/>
        <v>7647</v>
      </c>
      <c r="CB55" s="132">
        <f t="shared" si="67"/>
        <v>7647</v>
      </c>
    </row>
    <row r="56" spans="1:80" x14ac:dyDescent="0.2">
      <c r="A56" s="121">
        <v>135</v>
      </c>
      <c r="B56" s="130" t="s">
        <v>75</v>
      </c>
      <c r="C56" s="123">
        <f>'[5]ПП ВДГ'!C56+'[5]Корсак Л.Р.'!C56+'[5]Корсак В.І.'!C56+[5]Конякіна!C56</f>
        <v>40020</v>
      </c>
      <c r="D56" s="123">
        <f>'[5]ПП ВДГ'!D56+'[5]Корсак Л.Р.'!D56+'[5]Корсак В.І.'!D56+[5]Конякіна!D56</f>
        <v>23300</v>
      </c>
      <c r="E56" s="131">
        <f t="shared" si="40"/>
        <v>63320</v>
      </c>
      <c r="F56" s="128">
        <f>'Солар Вест'!F56+Будник!F56</f>
        <v>0</v>
      </c>
      <c r="G56" s="128">
        <f>'Солар Вест'!G56+Будник!G56</f>
        <v>0</v>
      </c>
      <c r="H56" s="132">
        <f t="shared" si="41"/>
        <v>0</v>
      </c>
      <c r="I56" s="123">
        <f>'[5]ПП ВДГ'!I56+'[5]Корсак Л.Р.'!I56+'[5]Корсак В.І.'!I56+[5]Конякіна!I56</f>
        <v>40020</v>
      </c>
      <c r="J56" s="123">
        <f>'[5]ПП ВДГ'!J56+'[5]Корсак Л.Р.'!J56+'[5]Корсак В.І.'!J56+[5]Конякіна!J56</f>
        <v>23300</v>
      </c>
      <c r="K56" s="131">
        <f t="shared" si="42"/>
        <v>63320</v>
      </c>
      <c r="L56" s="128">
        <f>'Солар Вест'!L56+Будник!L56</f>
        <v>0</v>
      </c>
      <c r="M56" s="128">
        <f>'Солар Вест'!M56+Будник!M56</f>
        <v>0</v>
      </c>
      <c r="N56" s="132">
        <f t="shared" si="43"/>
        <v>0</v>
      </c>
      <c r="O56" s="123">
        <f>'[5]ПП ВДГ'!O56+'[5]Корсак Л.Р.'!O56+'[5]Корсак В.І.'!O56+[5]Конякіна!O56</f>
        <v>40020</v>
      </c>
      <c r="P56" s="123">
        <f>'[5]ПП ВДГ'!P56+'[5]Корсак Л.Р.'!P56+'[5]Корсак В.І.'!P56+[5]Конякіна!P56</f>
        <v>23300</v>
      </c>
      <c r="Q56" s="131">
        <f t="shared" si="44"/>
        <v>63320</v>
      </c>
      <c r="R56" s="128">
        <f>'Солар Вест'!R56+Будник!R56</f>
        <v>6322</v>
      </c>
      <c r="S56" s="128">
        <f>'Солар Вест'!S56+Будник!S56</f>
        <v>0</v>
      </c>
      <c r="T56" s="132">
        <f t="shared" si="45"/>
        <v>6322</v>
      </c>
      <c r="U56" s="123">
        <f>'[5]ПП ВДГ'!U56+'[5]Корсак Л.Р.'!U56+'[5]Корсак В.І.'!U56+[5]Конякіна!U56</f>
        <v>50000</v>
      </c>
      <c r="V56" s="123">
        <f>'[5]ПП ВДГ'!V56+'[5]Корсак Л.Р.'!V56+'[5]Корсак В.І.'!V56+[5]Конякіна!V56</f>
        <v>27491</v>
      </c>
      <c r="W56" s="131">
        <f t="shared" si="46"/>
        <v>77491</v>
      </c>
      <c r="X56" s="128">
        <f>'Солар Вест'!X56+Будник!X56</f>
        <v>2400</v>
      </c>
      <c r="Y56" s="128">
        <f>'Солар Вест'!Y56+Будник!Y56</f>
        <v>0</v>
      </c>
      <c r="Z56" s="132">
        <f t="shared" si="47"/>
        <v>2400</v>
      </c>
      <c r="AA56" s="123">
        <f>'[5]ПП ВДГ'!AA56+'[5]Корсак Л.Р.'!AA56+'[5]Корсак В.І.'!AA56+[5]Конякіна!AA56</f>
        <v>40020</v>
      </c>
      <c r="AB56" s="123">
        <f>'[5]ПП ВДГ'!AB56+'[5]Корсак Л.Р.'!AB56+'[5]Корсак В.І.'!AB56+[5]Конякіна!AB56</f>
        <v>22550</v>
      </c>
      <c r="AC56" s="131">
        <f t="shared" si="48"/>
        <v>62570</v>
      </c>
      <c r="AD56" s="128">
        <f>'Солар Вест'!AD56+Будник!AD56</f>
        <v>2400</v>
      </c>
      <c r="AE56" s="128">
        <f>'Солар Вест'!AE56+Будник!AE56</f>
        <v>0</v>
      </c>
      <c r="AF56" s="132">
        <f t="shared" si="49"/>
        <v>2400</v>
      </c>
      <c r="AG56" s="123">
        <f>'[5]ПП ВДГ'!AG56+'[5]Корсак Л.Р.'!AG56+'[5]Корсак В.І.'!AG56+[5]Конякіна!AG56</f>
        <v>40000</v>
      </c>
      <c r="AH56" s="123">
        <f>'[5]ПП ВДГ'!AH56+'[5]Корсак Л.Р.'!AH56+'[5]Корсак В.І.'!AH56+[5]Конякіна!AH56</f>
        <v>22530</v>
      </c>
      <c r="AI56" s="131">
        <f t="shared" si="50"/>
        <v>62530</v>
      </c>
      <c r="AJ56" s="128">
        <f>'Солар Вест'!AJ56+Будник!AJ56</f>
        <v>2400</v>
      </c>
      <c r="AK56" s="128">
        <f>'Солар Вест'!AK56+Будник!AK56</f>
        <v>0</v>
      </c>
      <c r="AL56" s="132">
        <f t="shared" si="51"/>
        <v>2400</v>
      </c>
      <c r="AM56" s="123">
        <f>'[5]ПП ВДГ'!AM56+'[5]Корсак Л.Р.'!AM56+'[5]Корсак В.І.'!AM56+[5]Конякіна!AM56</f>
        <v>40000</v>
      </c>
      <c r="AN56" s="123">
        <f>'[5]ПП ВДГ'!AN56+'[5]Корсак Л.Р.'!AN56+'[5]Корсак В.І.'!AN56+[5]Конякіна!AN56</f>
        <v>22542</v>
      </c>
      <c r="AO56" s="131">
        <f t="shared" si="52"/>
        <v>62542</v>
      </c>
      <c r="AP56" s="128">
        <f>'Солар Вест'!AP56+Будник!AP56</f>
        <v>146356</v>
      </c>
      <c r="AQ56" s="128">
        <f>'Солар Вест'!AQ56+Будник!AQ56</f>
        <v>0</v>
      </c>
      <c r="AR56" s="132">
        <f t="shared" si="53"/>
        <v>146356</v>
      </c>
      <c r="AS56" s="123">
        <f>'[5]ПП ВДГ'!AS56+'[5]Корсак Л.Р.'!AS56+'[5]Корсак В.І.'!AS56+[5]Конякіна!AS56</f>
        <v>39020</v>
      </c>
      <c r="AT56" s="123">
        <f>'[5]ПП ВДГ'!AT56+'[5]Корсак Л.Р.'!AT56+'[5]Корсак В.І.'!AT56+[5]Конякіна!AT56</f>
        <v>22527</v>
      </c>
      <c r="AU56" s="131">
        <f t="shared" si="54"/>
        <v>61547</v>
      </c>
      <c r="AV56" s="128">
        <f>'Солар Вест'!AV56+Будник!AV56</f>
        <v>43300</v>
      </c>
      <c r="AW56" s="128">
        <f>'Солар Вест'!AW56+Будник!AW56</f>
        <v>0</v>
      </c>
      <c r="AX56" s="132">
        <f t="shared" si="55"/>
        <v>43300</v>
      </c>
      <c r="AY56" s="123">
        <f>'[5]ПП ВДГ'!AY56+'[5]Корсак Л.Р.'!AY56+'[5]Корсак В.І.'!AY56+[5]Конякіна!AY56</f>
        <v>40020</v>
      </c>
      <c r="AZ56" s="123">
        <f>'[5]ПП ВДГ'!AZ56+'[5]Корсак Л.Р.'!AZ56+'[5]Корсак В.І.'!AZ56+[5]Конякіна!AZ56</f>
        <v>23300</v>
      </c>
      <c r="BA56" s="131">
        <f t="shared" si="56"/>
        <v>63320</v>
      </c>
      <c r="BB56" s="128">
        <f>'Солар Вест'!BB56+Будник!BB56</f>
        <v>10437</v>
      </c>
      <c r="BC56" s="128">
        <f>'Солар Вест'!BC56+Будник!BC56</f>
        <v>0</v>
      </c>
      <c r="BD56" s="132">
        <f t="shared" si="57"/>
        <v>10437</v>
      </c>
      <c r="BE56" s="128">
        <f>'Солар Вест'!BE56+Будник!BE56</f>
        <v>12615</v>
      </c>
      <c r="BF56" s="128">
        <f>'Солар Вест'!BF56+Будник!BF56</f>
        <v>0</v>
      </c>
      <c r="BG56" s="131">
        <f t="shared" si="58"/>
        <v>12615</v>
      </c>
      <c r="BH56" s="128">
        <f>'Солар Вест'!BH56+Будник!BH56</f>
        <v>0</v>
      </c>
      <c r="BI56" s="128">
        <f>'Солар Вест'!BI56+Будник!BI56</f>
        <v>0</v>
      </c>
      <c r="BJ56" s="132">
        <f t="shared" si="59"/>
        <v>0</v>
      </c>
      <c r="BK56" s="123">
        <f>'[5]ПП ВДГ'!BK56+'[5]Корсак Л.Р.'!BK56+'[5]Корсак В.І.'!BK56+[5]Конякіна!BK56</f>
        <v>40020</v>
      </c>
      <c r="BL56" s="123">
        <f>'[5]ПП ВДГ'!BL56+'[5]Корсак Л.Р.'!BL56+'[5]Корсак В.І.'!BL56+[5]Конякіна!BL56</f>
        <v>22527</v>
      </c>
      <c r="BM56" s="131">
        <f t="shared" si="60"/>
        <v>62547</v>
      </c>
      <c r="BN56" s="128">
        <f>'Солар Вест'!BN56+Будник!BN56</f>
        <v>0</v>
      </c>
      <c r="BO56" s="128">
        <f>'Солар Вест'!BO56+Будник!BO56</f>
        <v>0</v>
      </c>
      <c r="BP56" s="132">
        <f t="shared" si="61"/>
        <v>0</v>
      </c>
      <c r="BQ56" s="123">
        <f>'[5]ПП ВДГ'!BQ56+'[5]Корсак Л.Р.'!BQ56+'[5]Корсак В.І.'!BQ56+[5]Конякіна!BQ56</f>
        <v>40020</v>
      </c>
      <c r="BR56" s="123">
        <f>'[5]ПП ВДГ'!BR56+'[5]Корсак Л.Р.'!BR56+'[5]Корсак В.І.'!BR56+[5]Конякіна!BR56</f>
        <v>22541</v>
      </c>
      <c r="BS56" s="131">
        <f t="shared" si="62"/>
        <v>62561</v>
      </c>
      <c r="BT56" s="128">
        <f>'Солар Вест'!BT56+Будник!BT56</f>
        <v>0</v>
      </c>
      <c r="BU56" s="128">
        <f>'Солар Вест'!BU56+Будник!BU56</f>
        <v>0</v>
      </c>
      <c r="BV56" s="132">
        <f t="shared" si="63"/>
        <v>0</v>
      </c>
      <c r="BW56" s="123">
        <f t="shared" si="64"/>
        <v>461775</v>
      </c>
      <c r="BX56" s="123">
        <f t="shared" si="64"/>
        <v>255908</v>
      </c>
      <c r="BY56" s="131">
        <f t="shared" si="65"/>
        <v>717683</v>
      </c>
      <c r="BZ56" s="123">
        <f t="shared" si="66"/>
        <v>213615</v>
      </c>
      <c r="CA56" s="123">
        <f t="shared" si="66"/>
        <v>0</v>
      </c>
      <c r="CB56" s="132">
        <f t="shared" si="67"/>
        <v>213615</v>
      </c>
    </row>
    <row r="57" spans="1:80" x14ac:dyDescent="0.2">
      <c r="A57" s="121">
        <v>136</v>
      </c>
      <c r="B57" s="130" t="s">
        <v>76</v>
      </c>
      <c r="C57" s="123">
        <f>'[5]ПП ВДГ'!C57+'[5]Корсак Л.Р.'!C57+'[5]Корсак В.І.'!C57+[5]Конякіна!C57</f>
        <v>0</v>
      </c>
      <c r="D57" s="123">
        <f>'[5]ПП ВДГ'!D57+'[5]Корсак Л.Р.'!D57+'[5]Корсак В.І.'!D57+[5]Конякіна!D57</f>
        <v>0</v>
      </c>
      <c r="E57" s="131">
        <f t="shared" si="40"/>
        <v>0</v>
      </c>
      <c r="F57" s="128">
        <f>'Солар Вест'!F57+Будник!F57</f>
        <v>0</v>
      </c>
      <c r="G57" s="128">
        <f>'Солар Вест'!G57+Будник!G57</f>
        <v>17397</v>
      </c>
      <c r="H57" s="132">
        <f t="shared" si="41"/>
        <v>17397</v>
      </c>
      <c r="I57" s="123">
        <f>'[5]ПП ВДГ'!I57+'[5]Корсак Л.Р.'!I57+'[5]Корсак В.І.'!I57+[5]Конякіна!I57</f>
        <v>0</v>
      </c>
      <c r="J57" s="123">
        <f>'[5]ПП ВДГ'!J57+'[5]Корсак Л.Р.'!J57+'[5]Корсак В.І.'!J57+[5]Конякіна!J57</f>
        <v>0</v>
      </c>
      <c r="K57" s="131">
        <f t="shared" si="42"/>
        <v>0</v>
      </c>
      <c r="L57" s="128">
        <f>'Солар Вест'!L57+Будник!L57</f>
        <v>0</v>
      </c>
      <c r="M57" s="128">
        <f>'Солар Вест'!M57+Будник!M57</f>
        <v>1440</v>
      </c>
      <c r="N57" s="132">
        <f t="shared" si="43"/>
        <v>1440</v>
      </c>
      <c r="O57" s="123">
        <f>'[5]ПП ВДГ'!O57+'[5]Корсак Л.Р.'!O57+'[5]Корсак В.І.'!O57+[5]Конякіна!O57</f>
        <v>0</v>
      </c>
      <c r="P57" s="123">
        <f>'[5]ПП ВДГ'!P57+'[5]Корсак Л.Р.'!P57+'[5]Корсак В.І.'!P57+[5]Конякіна!P57</f>
        <v>0</v>
      </c>
      <c r="Q57" s="131">
        <f t="shared" si="44"/>
        <v>0</v>
      </c>
      <c r="R57" s="128">
        <f>'Солар Вест'!R57+Будник!R57</f>
        <v>0</v>
      </c>
      <c r="S57" s="128">
        <f>'Солар Вест'!S57+Будник!S57</f>
        <v>120</v>
      </c>
      <c r="T57" s="132">
        <f t="shared" si="45"/>
        <v>120</v>
      </c>
      <c r="U57" s="123">
        <f>'[5]ПП ВДГ'!U57+'[5]Корсак Л.Р.'!U57+'[5]Корсак В.І.'!U57+[5]Конякіна!U57</f>
        <v>0</v>
      </c>
      <c r="V57" s="123">
        <f>'[5]ПП ВДГ'!V57+'[5]Корсак Л.Р.'!V57+'[5]Корсак В.І.'!V57+[5]Конякіна!V57</f>
        <v>200</v>
      </c>
      <c r="W57" s="131">
        <f t="shared" si="46"/>
        <v>200</v>
      </c>
      <c r="X57" s="128">
        <f>'Солар Вест'!X57+Будник!X57</f>
        <v>0</v>
      </c>
      <c r="Y57" s="128">
        <f>'Солар Вест'!Y57+Будник!Y57</f>
        <v>272</v>
      </c>
      <c r="Z57" s="132">
        <f t="shared" si="47"/>
        <v>272</v>
      </c>
      <c r="AA57" s="123">
        <f>'[5]ПП ВДГ'!AA57+'[5]Корсак Л.Р.'!AA57+'[5]Корсак В.І.'!AA57+[5]Конякіна!AA57</f>
        <v>0</v>
      </c>
      <c r="AB57" s="123">
        <f>'[5]ПП ВДГ'!AB57+'[5]Корсак Л.Р.'!AB57+'[5]Корсак В.І.'!AB57+[5]Конякіна!AB57</f>
        <v>0</v>
      </c>
      <c r="AC57" s="131">
        <f t="shared" si="48"/>
        <v>0</v>
      </c>
      <c r="AD57" s="128">
        <f>'Солар Вест'!AD57+Будник!AD57</f>
        <v>0</v>
      </c>
      <c r="AE57" s="128">
        <f>'Солар Вест'!AE57+Будник!AE57</f>
        <v>0</v>
      </c>
      <c r="AF57" s="132">
        <f t="shared" si="49"/>
        <v>0</v>
      </c>
      <c r="AG57" s="123">
        <f>'[5]ПП ВДГ'!AG57+'[5]Корсак Л.Р.'!AG57+'[5]Корсак В.І.'!AG57+[5]Конякіна!AG57</f>
        <v>0</v>
      </c>
      <c r="AH57" s="123">
        <f>'[5]ПП ВДГ'!AH57+'[5]Корсак Л.Р.'!AH57+'[5]Корсак В.І.'!AH57+[5]Конякіна!AH57</f>
        <v>250</v>
      </c>
      <c r="AI57" s="131">
        <f t="shared" si="50"/>
        <v>250</v>
      </c>
      <c r="AJ57" s="128">
        <f>'Солар Вест'!AJ57+Будник!AJ57</f>
        <v>0</v>
      </c>
      <c r="AK57" s="128">
        <f>'Солар Вест'!AK57+Будник!AK57</f>
        <v>12100</v>
      </c>
      <c r="AL57" s="132">
        <f t="shared" si="51"/>
        <v>12100</v>
      </c>
      <c r="AM57" s="123">
        <f>'[5]ПП ВДГ'!AM57+'[5]Корсак Л.Р.'!AM57+'[5]Корсак В.І.'!AM57+[5]Конякіна!AM57</f>
        <v>0</v>
      </c>
      <c r="AN57" s="123">
        <f>'[5]ПП ВДГ'!AN57+'[5]Корсак Л.Р.'!AN57+'[5]Корсак В.І.'!AN57+[5]Конякіна!AN57</f>
        <v>225</v>
      </c>
      <c r="AO57" s="131">
        <f t="shared" si="52"/>
        <v>225</v>
      </c>
      <c r="AP57" s="128">
        <f>'Солар Вест'!AP57+Будник!AP57</f>
        <v>0</v>
      </c>
      <c r="AQ57" s="128">
        <f>'Солар Вест'!AQ57+Будник!AQ57</f>
        <v>9940</v>
      </c>
      <c r="AR57" s="132">
        <f t="shared" si="53"/>
        <v>9940</v>
      </c>
      <c r="AS57" s="123">
        <f>'[5]ПП ВДГ'!AS57+'[5]Корсак Л.Р.'!AS57+'[5]Корсак В.І.'!AS57+[5]Конякіна!AS57</f>
        <v>0</v>
      </c>
      <c r="AT57" s="123">
        <f>'[5]ПП ВДГ'!AT57+'[5]Корсак Л.Р.'!AT57+'[5]Корсак В.І.'!AT57+[5]Конякіна!AT57</f>
        <v>250</v>
      </c>
      <c r="AU57" s="131">
        <f t="shared" si="54"/>
        <v>250</v>
      </c>
      <c r="AV57" s="128">
        <f>'Солар Вест'!AV57+Будник!AV57</f>
        <v>0</v>
      </c>
      <c r="AW57" s="128">
        <f>'Солар Вест'!AW57+Будник!AW57</f>
        <v>4245</v>
      </c>
      <c r="AX57" s="132">
        <f t="shared" si="55"/>
        <v>4245</v>
      </c>
      <c r="AY57" s="123">
        <f>'[5]ПП ВДГ'!AY57+'[5]Корсак Л.Р.'!AY57+'[5]Корсак В.І.'!AY57+[5]Конякіна!AY57</f>
        <v>0</v>
      </c>
      <c r="AZ57" s="123">
        <f>'[5]ПП ВДГ'!AZ57+'[5]Корсак Л.Р.'!AZ57+'[5]Корсак В.І.'!AZ57+[5]Конякіна!AZ57</f>
        <v>0</v>
      </c>
      <c r="BA57" s="131">
        <f t="shared" si="56"/>
        <v>0</v>
      </c>
      <c r="BB57" s="128">
        <f>'Солар Вест'!BB57+Будник!BB57</f>
        <v>0</v>
      </c>
      <c r="BC57" s="128">
        <f>'Солар Вест'!BC57+Будник!BC57</f>
        <v>850</v>
      </c>
      <c r="BD57" s="132">
        <f t="shared" si="57"/>
        <v>850</v>
      </c>
      <c r="BE57" s="128">
        <f>'Солар Вест'!BE57+Будник!BE57</f>
        <v>0</v>
      </c>
      <c r="BF57" s="128">
        <f>'Солар Вест'!BF57+Будник!BF57</f>
        <v>0</v>
      </c>
      <c r="BG57" s="131">
        <f t="shared" si="58"/>
        <v>0</v>
      </c>
      <c r="BH57" s="128">
        <f>'Солар Вест'!BH57+Будник!BH57</f>
        <v>0</v>
      </c>
      <c r="BI57" s="128">
        <f>'Солар Вест'!BI57+Будник!BI57</f>
        <v>0</v>
      </c>
      <c r="BJ57" s="132">
        <f t="shared" si="59"/>
        <v>0</v>
      </c>
      <c r="BK57" s="123">
        <f>'[5]ПП ВДГ'!BK57+'[5]Корсак Л.Р.'!BK57+'[5]Корсак В.І.'!BK57+[5]Конякіна!BK57</f>
        <v>0</v>
      </c>
      <c r="BL57" s="123">
        <f>'[5]ПП ВДГ'!BL57+'[5]Корсак Л.Р.'!BL57+'[5]Корсак В.І.'!BL57+[5]Конякіна!BL57</f>
        <v>500</v>
      </c>
      <c r="BM57" s="131">
        <f t="shared" si="60"/>
        <v>500</v>
      </c>
      <c r="BN57" s="128">
        <f>'Солар Вест'!BN57+Будник!BN57</f>
        <v>0</v>
      </c>
      <c r="BO57" s="128">
        <f>'Солар Вест'!BO57+Будник!BO57</f>
        <v>0</v>
      </c>
      <c r="BP57" s="132">
        <f t="shared" si="61"/>
        <v>0</v>
      </c>
      <c r="BQ57" s="123">
        <f>'[5]ПП ВДГ'!BQ57+'[5]Корсак Л.Р.'!BQ57+'[5]Корсак В.І.'!BQ57+[5]Конякіна!BQ57</f>
        <v>0</v>
      </c>
      <c r="BR57" s="123">
        <f>'[5]ПП ВДГ'!BR57+'[5]Корсак Л.Р.'!BR57+'[5]Корсак В.І.'!BR57+[5]Конякіна!BR57</f>
        <v>500</v>
      </c>
      <c r="BS57" s="131">
        <f t="shared" si="62"/>
        <v>500</v>
      </c>
      <c r="BT57" s="128">
        <f>'Солар Вест'!BT57+Будник!BT57</f>
        <v>0</v>
      </c>
      <c r="BU57" s="128">
        <f>'Солар Вест'!BU57+Будник!BU57</f>
        <v>0</v>
      </c>
      <c r="BV57" s="132">
        <f t="shared" si="63"/>
        <v>0</v>
      </c>
      <c r="BW57" s="123">
        <f t="shared" si="64"/>
        <v>0</v>
      </c>
      <c r="BX57" s="123">
        <f t="shared" si="64"/>
        <v>1925</v>
      </c>
      <c r="BY57" s="131">
        <f t="shared" si="65"/>
        <v>1925</v>
      </c>
      <c r="BZ57" s="123">
        <f t="shared" si="66"/>
        <v>0</v>
      </c>
      <c r="CA57" s="123">
        <f t="shared" si="66"/>
        <v>46364</v>
      </c>
      <c r="CB57" s="132">
        <f t="shared" si="67"/>
        <v>46364</v>
      </c>
    </row>
    <row r="58" spans="1:80" x14ac:dyDescent="0.2">
      <c r="A58" s="121">
        <v>221</v>
      </c>
      <c r="B58" s="130" t="s">
        <v>77</v>
      </c>
      <c r="C58" s="123">
        <f>'[5]ПП ВДГ'!C58+'[5]Корсак Л.Р.'!C58+'[5]Корсак В.І.'!C58+[5]Конякіна!C58</f>
        <v>0</v>
      </c>
      <c r="D58" s="123">
        <f>'[5]ПП ВДГ'!D58+'[5]Корсак Л.Р.'!D58+'[5]Корсак В.І.'!D58+[5]Конякіна!D58</f>
        <v>0</v>
      </c>
      <c r="E58" s="131">
        <f t="shared" si="40"/>
        <v>0</v>
      </c>
      <c r="F58" s="128">
        <f>'Солар Вест'!F58+Будник!F58</f>
        <v>0</v>
      </c>
      <c r="G58" s="128">
        <f>'Солар Вест'!G58+Будник!G58</f>
        <v>0</v>
      </c>
      <c r="H58" s="132">
        <f t="shared" si="41"/>
        <v>0</v>
      </c>
      <c r="I58" s="123">
        <f>'[5]ПП ВДГ'!I58+'[5]Корсак Л.Р.'!I58+'[5]Корсак В.І.'!I58+[5]Конякіна!I58</f>
        <v>0</v>
      </c>
      <c r="J58" s="123">
        <f>'[5]ПП ВДГ'!J58+'[5]Корсак Л.Р.'!J58+'[5]Корсак В.І.'!J58+[5]Конякіна!J58</f>
        <v>0</v>
      </c>
      <c r="K58" s="131">
        <f t="shared" si="42"/>
        <v>0</v>
      </c>
      <c r="L58" s="128">
        <f>'Солар Вест'!L58+Будник!L58</f>
        <v>0</v>
      </c>
      <c r="M58" s="128">
        <f>'Солар Вест'!M58+Будник!M58</f>
        <v>0</v>
      </c>
      <c r="N58" s="132">
        <f t="shared" si="43"/>
        <v>0</v>
      </c>
      <c r="O58" s="123">
        <f>'[5]ПП ВДГ'!O58+'[5]Корсак Л.Р.'!O58+'[5]Корсак В.І.'!O58+[5]Конякіна!O58</f>
        <v>0</v>
      </c>
      <c r="P58" s="123">
        <f>'[5]ПП ВДГ'!P58+'[5]Корсак Л.Р.'!P58+'[5]Корсак В.І.'!P58+[5]Конякіна!P58</f>
        <v>0</v>
      </c>
      <c r="Q58" s="131">
        <f t="shared" si="44"/>
        <v>0</v>
      </c>
      <c r="R58" s="128">
        <f>'Солар Вест'!R58+Будник!R58</f>
        <v>0</v>
      </c>
      <c r="S58" s="128">
        <f>'Солар Вест'!S58+Будник!S58</f>
        <v>0</v>
      </c>
      <c r="T58" s="132">
        <f t="shared" si="45"/>
        <v>0</v>
      </c>
      <c r="U58" s="123">
        <f>'[5]ПП ВДГ'!U58+'[5]Корсак Л.Р.'!U58+'[5]Корсак В.І.'!U58+[5]Конякіна!U58</f>
        <v>27757</v>
      </c>
      <c r="V58" s="123">
        <f>'[5]ПП ВДГ'!V58+'[5]Корсак Л.Р.'!V58+'[5]Корсак В.І.'!V58+[5]Конякіна!V58</f>
        <v>0</v>
      </c>
      <c r="W58" s="131">
        <f t="shared" si="46"/>
        <v>27757</v>
      </c>
      <c r="X58" s="128">
        <f>'Солар Вест'!X58+Будник!X58</f>
        <v>0</v>
      </c>
      <c r="Y58" s="128">
        <f>'Солар Вест'!Y58+Будник!Y58</f>
        <v>0</v>
      </c>
      <c r="Z58" s="132">
        <f t="shared" si="47"/>
        <v>0</v>
      </c>
      <c r="AA58" s="123">
        <f>'[5]ПП ВДГ'!AA58+'[5]Корсак Л.Р.'!AA58+'[5]Корсак В.І.'!AA58+[5]Конякіна!AA58</f>
        <v>0</v>
      </c>
      <c r="AB58" s="123">
        <f>'[5]ПП ВДГ'!AB58+'[5]Корсак Л.Р.'!AB58+'[5]Корсак В.І.'!AB58+[5]Конякіна!AB58</f>
        <v>0</v>
      </c>
      <c r="AC58" s="131">
        <f t="shared" si="48"/>
        <v>0</v>
      </c>
      <c r="AD58" s="128">
        <f>'Солар Вест'!AD58+Будник!AD58</f>
        <v>0</v>
      </c>
      <c r="AE58" s="128">
        <f>'Солар Вест'!AE58+Будник!AE58</f>
        <v>0</v>
      </c>
      <c r="AF58" s="132">
        <f t="shared" si="49"/>
        <v>0</v>
      </c>
      <c r="AG58" s="123">
        <f>'[5]ПП ВДГ'!AG58+'[5]Корсак Л.Р.'!AG58+'[5]Корсак В.І.'!AG58+[5]Конякіна!AG58</f>
        <v>5407</v>
      </c>
      <c r="AH58" s="123">
        <f>'[5]ПП ВДГ'!AH58+'[5]Корсак Л.Р.'!AH58+'[5]Корсак В.І.'!AH58+[5]Конякіна!AH58</f>
        <v>0</v>
      </c>
      <c r="AI58" s="131">
        <f t="shared" si="50"/>
        <v>5407</v>
      </c>
      <c r="AJ58" s="128">
        <f>'Солар Вест'!AJ58+Будник!AJ58</f>
        <v>0</v>
      </c>
      <c r="AK58" s="128">
        <f>'Солар Вест'!AK58+Будник!AK58</f>
        <v>0</v>
      </c>
      <c r="AL58" s="132">
        <f t="shared" si="51"/>
        <v>0</v>
      </c>
      <c r="AM58" s="123">
        <f>'[5]ПП ВДГ'!AM58+'[5]Корсак Л.Р.'!AM58+'[5]Корсак В.І.'!AM58+[5]Конякіна!AM58</f>
        <v>5202</v>
      </c>
      <c r="AN58" s="123">
        <f>'[5]ПП ВДГ'!AN58+'[5]Корсак Л.Р.'!AN58+'[5]Корсак В.І.'!AN58+[5]Конякіна!AN58</f>
        <v>0</v>
      </c>
      <c r="AO58" s="131">
        <f t="shared" si="52"/>
        <v>5202</v>
      </c>
      <c r="AP58" s="128">
        <f>'Солар Вест'!AP58+Будник!AP58</f>
        <v>0</v>
      </c>
      <c r="AQ58" s="128">
        <f>'Солар Вест'!AQ58+Будник!AQ58</f>
        <v>0</v>
      </c>
      <c r="AR58" s="132">
        <f t="shared" si="53"/>
        <v>0</v>
      </c>
      <c r="AS58" s="123">
        <f>'[5]ПП ВДГ'!AS58+'[5]Корсак Л.Р.'!AS58+'[5]Корсак В.І.'!AS58+[5]Конякіна!AS58</f>
        <v>5006</v>
      </c>
      <c r="AT58" s="123">
        <f>'[5]ПП ВДГ'!AT58+'[5]Корсак Л.Р.'!AT58+'[5]Корсак В.І.'!AT58+[5]Конякіна!AT58</f>
        <v>0</v>
      </c>
      <c r="AU58" s="131">
        <f t="shared" si="54"/>
        <v>5006</v>
      </c>
      <c r="AV58" s="128">
        <f>'Солар Вест'!AV58+Будник!AV58</f>
        <v>0</v>
      </c>
      <c r="AW58" s="128">
        <f>'Солар Вест'!AW58+Будник!AW58</f>
        <v>0</v>
      </c>
      <c r="AX58" s="132">
        <f t="shared" si="55"/>
        <v>0</v>
      </c>
      <c r="AY58" s="123">
        <f>'[5]ПП ВДГ'!AY58+'[5]Корсак Л.Р.'!AY58+'[5]Корсак В.І.'!AY58+[5]Конякіна!AY58</f>
        <v>0</v>
      </c>
      <c r="AZ58" s="123">
        <f>'[5]ПП ВДГ'!AZ58+'[5]Корсак Л.Р.'!AZ58+'[5]Корсак В.І.'!AZ58+[5]Конякіна!AZ58</f>
        <v>0</v>
      </c>
      <c r="BA58" s="131">
        <f t="shared" si="56"/>
        <v>0</v>
      </c>
      <c r="BB58" s="128">
        <f>'Солар Вест'!BB58+Будник!BB58</f>
        <v>0</v>
      </c>
      <c r="BC58" s="128">
        <f>'Солар Вест'!BC58+Будник!BC58</f>
        <v>0</v>
      </c>
      <c r="BD58" s="132">
        <f t="shared" si="57"/>
        <v>0</v>
      </c>
      <c r="BE58" s="128">
        <f>'Солар Вест'!BE58+Будник!BE58</f>
        <v>0</v>
      </c>
      <c r="BF58" s="128">
        <f>'Солар Вест'!BF58+Будник!BF58</f>
        <v>0</v>
      </c>
      <c r="BG58" s="131">
        <f t="shared" si="58"/>
        <v>0</v>
      </c>
      <c r="BH58" s="128">
        <f>'Солар Вест'!BH58+Будник!BH58</f>
        <v>0</v>
      </c>
      <c r="BI58" s="128">
        <f>'Солар Вест'!BI58+Будник!BI58</f>
        <v>0</v>
      </c>
      <c r="BJ58" s="132">
        <f t="shared" si="59"/>
        <v>0</v>
      </c>
      <c r="BK58" s="123">
        <f>'[5]ПП ВДГ'!BK58+'[5]Корсак Л.Р.'!BK58+'[5]Корсак В.І.'!BK58+[5]Конякіна!BK58</f>
        <v>0</v>
      </c>
      <c r="BL58" s="123">
        <f>'[5]ПП ВДГ'!BL58+'[5]Корсак Л.Р.'!BL58+'[5]Корсак В.І.'!BL58+[5]Конякіна!BL58</f>
        <v>0</v>
      </c>
      <c r="BM58" s="131">
        <f t="shared" si="60"/>
        <v>0</v>
      </c>
      <c r="BN58" s="128">
        <f>'Солар Вест'!BN58+Будник!BN58</f>
        <v>0</v>
      </c>
      <c r="BO58" s="128">
        <f>'Солар Вест'!BO58+Будник!BO58</f>
        <v>0</v>
      </c>
      <c r="BP58" s="132">
        <f t="shared" si="61"/>
        <v>0</v>
      </c>
      <c r="BQ58" s="123">
        <f>'[5]ПП ВДГ'!BQ58+'[5]Корсак Л.Р.'!BQ58+'[5]Корсак В.І.'!BQ58+[5]Конякіна!BQ58</f>
        <v>0</v>
      </c>
      <c r="BR58" s="123">
        <f>'[5]ПП ВДГ'!BR58+'[5]Корсак Л.Р.'!BR58+'[5]Корсак В.І.'!BR58+[5]Конякіна!BR58</f>
        <v>0</v>
      </c>
      <c r="BS58" s="131">
        <f t="shared" si="62"/>
        <v>0</v>
      </c>
      <c r="BT58" s="128">
        <f>'Солар Вест'!BT58+Будник!BT58</f>
        <v>0</v>
      </c>
      <c r="BU58" s="128">
        <f>'Солар Вест'!BU58+Будник!BU58</f>
        <v>0</v>
      </c>
      <c r="BV58" s="132">
        <f t="shared" si="63"/>
        <v>0</v>
      </c>
      <c r="BW58" s="123">
        <f t="shared" si="64"/>
        <v>43372</v>
      </c>
      <c r="BX58" s="123">
        <f t="shared" si="64"/>
        <v>0</v>
      </c>
      <c r="BY58" s="131">
        <f t="shared" si="65"/>
        <v>43372</v>
      </c>
      <c r="BZ58" s="123">
        <f t="shared" si="66"/>
        <v>0</v>
      </c>
      <c r="CA58" s="123">
        <f t="shared" si="66"/>
        <v>0</v>
      </c>
      <c r="CB58" s="132">
        <f t="shared" si="67"/>
        <v>0</v>
      </c>
    </row>
    <row r="59" spans="1:80" outlineLevel="1" x14ac:dyDescent="0.2">
      <c r="A59" s="149" t="s">
        <v>78</v>
      </c>
      <c r="B59" s="145" t="s">
        <v>79</v>
      </c>
      <c r="C59" s="123">
        <f>'[5]ПП ВДГ'!C59+'[5]Корсак Л.Р.'!C59+'[5]Корсак В.І.'!C59+[5]Конякіна!C59</f>
        <v>0</v>
      </c>
      <c r="D59" s="123">
        <f>'[5]ПП ВДГ'!D59+'[5]Корсак Л.Р.'!D59+'[5]Корсак В.І.'!D59+[5]Конякіна!D59</f>
        <v>0</v>
      </c>
      <c r="E59" s="150">
        <f t="shared" si="40"/>
        <v>0</v>
      </c>
      <c r="F59" s="126">
        <f>'Солар Вест'!F59+Будник!F59</f>
        <v>0</v>
      </c>
      <c r="G59" s="126">
        <f>'Солар Вест'!G59+Будник!G59</f>
        <v>0</v>
      </c>
      <c r="H59" s="151">
        <f t="shared" si="41"/>
        <v>0</v>
      </c>
      <c r="I59" s="123">
        <f>'[5]ПП ВДГ'!I59+'[5]Корсак Л.Р.'!I59+'[5]Корсак В.І.'!I59+[5]Конякіна!I59</f>
        <v>0</v>
      </c>
      <c r="J59" s="123">
        <f>'[5]ПП ВДГ'!J59+'[5]Корсак Л.Р.'!J59+'[5]Корсак В.І.'!J59+[5]Конякіна!J59</f>
        <v>0</v>
      </c>
      <c r="K59" s="150">
        <f t="shared" si="42"/>
        <v>0</v>
      </c>
      <c r="L59" s="126">
        <f>'Солар Вест'!L59+Будник!L59</f>
        <v>0</v>
      </c>
      <c r="M59" s="126">
        <f>'Солар Вест'!M59+Будник!M59</f>
        <v>0</v>
      </c>
      <c r="N59" s="151">
        <f t="shared" si="43"/>
        <v>0</v>
      </c>
      <c r="O59" s="123">
        <f>'[5]ПП ВДГ'!O59+'[5]Корсак Л.Р.'!O59+'[5]Корсак В.І.'!O59+[5]Конякіна!O59</f>
        <v>0</v>
      </c>
      <c r="P59" s="123">
        <f>'[5]ПП ВДГ'!P59+'[5]Корсак Л.Р.'!P59+'[5]Корсак В.І.'!P59+[5]Конякіна!P59</f>
        <v>0</v>
      </c>
      <c r="Q59" s="150">
        <f t="shared" si="44"/>
        <v>0</v>
      </c>
      <c r="R59" s="126">
        <f>'Солар Вест'!R59+Будник!R59</f>
        <v>0</v>
      </c>
      <c r="S59" s="126">
        <f>'Солар Вест'!S59+Будник!S59</f>
        <v>0</v>
      </c>
      <c r="T59" s="151">
        <f t="shared" si="45"/>
        <v>0</v>
      </c>
      <c r="U59" s="123">
        <f>'[5]ПП ВДГ'!U59+'[5]Корсак Л.Р.'!U59+'[5]Корсак В.І.'!U59+[5]Конякіна!U59</f>
        <v>0</v>
      </c>
      <c r="V59" s="123">
        <f>'[5]ПП ВДГ'!V59+'[5]Корсак Л.Р.'!V59+'[5]Корсак В.І.'!V59+[5]Конякіна!V59</f>
        <v>0</v>
      </c>
      <c r="W59" s="150">
        <f t="shared" si="46"/>
        <v>0</v>
      </c>
      <c r="X59" s="126">
        <f>'Солар Вест'!X59+Будник!X59</f>
        <v>0</v>
      </c>
      <c r="Y59" s="126">
        <f>'Солар Вест'!Y59+Будник!Y59</f>
        <v>0</v>
      </c>
      <c r="Z59" s="151">
        <f t="shared" si="47"/>
        <v>0</v>
      </c>
      <c r="AA59" s="123">
        <f>'[5]ПП ВДГ'!AA59+'[5]Корсак Л.Р.'!AA59+'[5]Корсак В.І.'!AA59+[5]Конякіна!AA59</f>
        <v>0</v>
      </c>
      <c r="AB59" s="123">
        <f>'[5]ПП ВДГ'!AB59+'[5]Корсак Л.Р.'!AB59+'[5]Корсак В.І.'!AB59+[5]Конякіна!AB59</f>
        <v>0</v>
      </c>
      <c r="AC59" s="150">
        <f t="shared" si="48"/>
        <v>0</v>
      </c>
      <c r="AD59" s="126">
        <f>'Солар Вест'!AD59+Будник!AD59</f>
        <v>0</v>
      </c>
      <c r="AE59" s="126">
        <f>'Солар Вест'!AE59+Будник!AE59</f>
        <v>0</v>
      </c>
      <c r="AF59" s="151">
        <f t="shared" si="49"/>
        <v>0</v>
      </c>
      <c r="AG59" s="123">
        <f>'[5]ПП ВДГ'!AG59+'[5]Корсак Л.Р.'!AG59+'[5]Корсак В.І.'!AG59+[5]Конякіна!AG59</f>
        <v>0</v>
      </c>
      <c r="AH59" s="123">
        <f>'[5]ПП ВДГ'!AH59+'[5]Корсак Л.Р.'!AH59+'[5]Корсак В.І.'!AH59+[5]Конякіна!AH59</f>
        <v>0</v>
      </c>
      <c r="AI59" s="150">
        <f t="shared" si="50"/>
        <v>0</v>
      </c>
      <c r="AJ59" s="126">
        <f>'Солар Вест'!AJ59+Будник!AJ59</f>
        <v>0</v>
      </c>
      <c r="AK59" s="126">
        <f>'Солар Вест'!AK59+Будник!AK59</f>
        <v>0</v>
      </c>
      <c r="AL59" s="151">
        <f t="shared" si="51"/>
        <v>0</v>
      </c>
      <c r="AM59" s="123">
        <f>'[5]ПП ВДГ'!AM59+'[5]Корсак Л.Р.'!AM59+'[5]Корсак В.І.'!AM59+[5]Конякіна!AM59</f>
        <v>0</v>
      </c>
      <c r="AN59" s="123">
        <f>'[5]ПП ВДГ'!AN59+'[5]Корсак Л.Р.'!AN59+'[5]Корсак В.І.'!AN59+[5]Конякіна!AN59</f>
        <v>0</v>
      </c>
      <c r="AO59" s="150">
        <f t="shared" si="52"/>
        <v>0</v>
      </c>
      <c r="AP59" s="126">
        <f>'Солар Вест'!AP59+Будник!AP59</f>
        <v>0</v>
      </c>
      <c r="AQ59" s="126">
        <f>'Солар Вест'!AQ59+Будник!AQ59</f>
        <v>0</v>
      </c>
      <c r="AR59" s="151">
        <f t="shared" si="53"/>
        <v>0</v>
      </c>
      <c r="AS59" s="123">
        <f>'[5]ПП ВДГ'!AS59+'[5]Корсак Л.Р.'!AS59+'[5]Корсак В.І.'!AS59+[5]Конякіна!AS59</f>
        <v>0</v>
      </c>
      <c r="AT59" s="123">
        <f>'[5]ПП ВДГ'!AT59+'[5]Корсак Л.Р.'!AT59+'[5]Корсак В.І.'!AT59+[5]Конякіна!AT59</f>
        <v>0</v>
      </c>
      <c r="AU59" s="150">
        <f t="shared" si="54"/>
        <v>0</v>
      </c>
      <c r="AV59" s="126">
        <f>'Солар Вест'!AV59+Будник!AV59</f>
        <v>0</v>
      </c>
      <c r="AW59" s="126">
        <f>'Солар Вест'!AW59+Будник!AW59</f>
        <v>0</v>
      </c>
      <c r="AX59" s="151">
        <f t="shared" si="55"/>
        <v>0</v>
      </c>
      <c r="AY59" s="123">
        <f>'[5]ПП ВДГ'!AY59+'[5]Корсак Л.Р.'!AY59+'[5]Корсак В.І.'!AY59+[5]Конякіна!AY59</f>
        <v>0</v>
      </c>
      <c r="AZ59" s="123">
        <f>'[5]ПП ВДГ'!AZ59+'[5]Корсак Л.Р.'!AZ59+'[5]Корсак В.І.'!AZ59+[5]Конякіна!AZ59</f>
        <v>0</v>
      </c>
      <c r="BA59" s="150">
        <f t="shared" si="56"/>
        <v>0</v>
      </c>
      <c r="BB59" s="126">
        <f>'Солар Вест'!BB59+Будник!BB59</f>
        <v>0</v>
      </c>
      <c r="BC59" s="126">
        <f>'Солар Вест'!BC59+Будник!BC59</f>
        <v>0</v>
      </c>
      <c r="BD59" s="151">
        <f t="shared" si="57"/>
        <v>0</v>
      </c>
      <c r="BE59" s="126">
        <f>'Солар Вест'!BE59+Будник!BE59</f>
        <v>0</v>
      </c>
      <c r="BF59" s="126">
        <f>'Солар Вест'!BF59+Будник!BF59</f>
        <v>0</v>
      </c>
      <c r="BG59" s="150">
        <f t="shared" si="58"/>
        <v>0</v>
      </c>
      <c r="BH59" s="126">
        <f>'Солар Вест'!BH59+Будник!BH59</f>
        <v>0</v>
      </c>
      <c r="BI59" s="126">
        <f>'Солар Вест'!BI59+Будник!BI59</f>
        <v>0</v>
      </c>
      <c r="BJ59" s="151">
        <f t="shared" si="59"/>
        <v>0</v>
      </c>
      <c r="BK59" s="123">
        <f>'[5]ПП ВДГ'!BK59+'[5]Корсак Л.Р.'!BK59+'[5]Корсак В.І.'!BK59+[5]Конякіна!BK59</f>
        <v>0</v>
      </c>
      <c r="BL59" s="123">
        <f>'[5]ПП ВДГ'!BL59+'[5]Корсак Л.Р.'!BL59+'[5]Корсак В.І.'!BL59+[5]Конякіна!BL59</f>
        <v>0</v>
      </c>
      <c r="BM59" s="150">
        <f t="shared" si="60"/>
        <v>0</v>
      </c>
      <c r="BN59" s="126">
        <f>'Солар Вест'!BN59+Будник!BN59</f>
        <v>0</v>
      </c>
      <c r="BO59" s="126">
        <f>'Солар Вест'!BO59+Будник!BO59</f>
        <v>0</v>
      </c>
      <c r="BP59" s="151">
        <f t="shared" si="61"/>
        <v>0</v>
      </c>
      <c r="BQ59" s="123">
        <f>'[5]ПП ВДГ'!BQ59+'[5]Корсак Л.Р.'!BQ59+'[5]Корсак В.І.'!BQ59+[5]Конякіна!BQ59</f>
        <v>0</v>
      </c>
      <c r="BR59" s="123">
        <f>'[5]ПП ВДГ'!BR59+'[5]Корсак Л.Р.'!BR59+'[5]Корсак В.І.'!BR59+[5]Конякіна!BR59</f>
        <v>0</v>
      </c>
      <c r="BS59" s="150">
        <f t="shared" si="62"/>
        <v>0</v>
      </c>
      <c r="BT59" s="126">
        <f>'Солар Вест'!BT59+Будник!BT59</f>
        <v>0</v>
      </c>
      <c r="BU59" s="126">
        <f>'Солар Вест'!BU59+Будник!BU59</f>
        <v>0</v>
      </c>
      <c r="BV59" s="151">
        <f t="shared" si="63"/>
        <v>0</v>
      </c>
      <c r="BW59" s="123">
        <f t="shared" si="64"/>
        <v>0</v>
      </c>
      <c r="BX59" s="123">
        <f t="shared" si="64"/>
        <v>0</v>
      </c>
      <c r="BY59" s="150">
        <f t="shared" si="65"/>
        <v>0</v>
      </c>
      <c r="BZ59" s="123">
        <f t="shared" si="66"/>
        <v>0</v>
      </c>
      <c r="CA59" s="123">
        <f t="shared" si="66"/>
        <v>0</v>
      </c>
      <c r="CB59" s="151">
        <f t="shared" si="67"/>
        <v>0</v>
      </c>
    </row>
    <row r="60" spans="1:80" outlineLevel="1" x14ac:dyDescent="0.2">
      <c r="A60" s="149" t="s">
        <v>97</v>
      </c>
      <c r="B60" s="145" t="s">
        <v>81</v>
      </c>
      <c r="C60" s="123">
        <f>'[5]ПП ВДГ'!C60+'[5]Корсак Л.Р.'!C60+'[5]Корсак В.І.'!C60+[5]Конякіна!C60</f>
        <v>0</v>
      </c>
      <c r="D60" s="123">
        <f>'[5]ПП ВДГ'!D60+'[5]Корсак Л.Р.'!D60+'[5]Корсак В.І.'!D60+[5]Конякіна!D60</f>
        <v>0</v>
      </c>
      <c r="E60" s="150">
        <f t="shared" si="40"/>
        <v>0</v>
      </c>
      <c r="F60" s="126">
        <f>'Солар Вест'!F60+Будник!F60</f>
        <v>0</v>
      </c>
      <c r="G60" s="126">
        <f>'Солар Вест'!G60+Будник!G60</f>
        <v>0</v>
      </c>
      <c r="H60" s="151">
        <f t="shared" si="41"/>
        <v>0</v>
      </c>
      <c r="I60" s="123">
        <f>'[5]ПП ВДГ'!I60+'[5]Корсак Л.Р.'!I60+'[5]Корсак В.І.'!I60+[5]Конякіна!I60</f>
        <v>0</v>
      </c>
      <c r="J60" s="123">
        <f>'[5]ПП ВДГ'!J60+'[5]Корсак Л.Р.'!J60+'[5]Корсак В.І.'!J60+[5]Конякіна!J60</f>
        <v>0</v>
      </c>
      <c r="K60" s="150">
        <f t="shared" si="42"/>
        <v>0</v>
      </c>
      <c r="L60" s="126">
        <f>'Солар Вест'!L60+Будник!L60</f>
        <v>0</v>
      </c>
      <c r="M60" s="126">
        <f>'Солар Вест'!M60+Будник!M60</f>
        <v>0</v>
      </c>
      <c r="N60" s="151">
        <f t="shared" si="43"/>
        <v>0</v>
      </c>
      <c r="O60" s="123">
        <f>'[5]ПП ВДГ'!O60+'[5]Корсак Л.Р.'!O60+'[5]Корсак В.І.'!O60+[5]Конякіна!O60</f>
        <v>0</v>
      </c>
      <c r="P60" s="123">
        <f>'[5]ПП ВДГ'!P60+'[5]Корсак Л.Р.'!P60+'[5]Корсак В.І.'!P60+[5]Конякіна!P60</f>
        <v>0</v>
      </c>
      <c r="Q60" s="150">
        <f t="shared" si="44"/>
        <v>0</v>
      </c>
      <c r="R60" s="126">
        <f>'Солар Вест'!R60+Будник!R60</f>
        <v>0</v>
      </c>
      <c r="S60" s="126">
        <f>'Солар Вест'!S60+Будник!S60</f>
        <v>0</v>
      </c>
      <c r="T60" s="151">
        <f t="shared" si="45"/>
        <v>0</v>
      </c>
      <c r="U60" s="123">
        <f>'[5]ПП ВДГ'!U60+'[5]Корсак Л.Р.'!U60+'[5]Корсак В.І.'!U60+[5]Конякіна!U60</f>
        <v>27757</v>
      </c>
      <c r="V60" s="123">
        <f>'[5]ПП ВДГ'!V60+'[5]Корсак Л.Р.'!V60+'[5]Корсак В.І.'!V60+[5]Конякіна!V60</f>
        <v>0</v>
      </c>
      <c r="W60" s="150">
        <f t="shared" si="46"/>
        <v>27757</v>
      </c>
      <c r="X60" s="126">
        <f>'Солар Вест'!X60+Будник!X60</f>
        <v>0</v>
      </c>
      <c r="Y60" s="126">
        <f>'Солар Вест'!Y60+Будник!Y60</f>
        <v>0</v>
      </c>
      <c r="Z60" s="151">
        <f t="shared" si="47"/>
        <v>0</v>
      </c>
      <c r="AA60" s="123">
        <f>'[5]ПП ВДГ'!AA60+'[5]Корсак Л.Р.'!AA60+'[5]Корсак В.І.'!AA60+[5]Конякіна!AA60</f>
        <v>0</v>
      </c>
      <c r="AB60" s="123">
        <f>'[5]ПП ВДГ'!AB60+'[5]Корсак Л.Р.'!AB60+'[5]Корсак В.І.'!AB60+[5]Конякіна!AB60</f>
        <v>0</v>
      </c>
      <c r="AC60" s="150">
        <f t="shared" si="48"/>
        <v>0</v>
      </c>
      <c r="AD60" s="126">
        <f>'Солар Вест'!AD60+Будник!AD60</f>
        <v>0</v>
      </c>
      <c r="AE60" s="126">
        <f>'Солар Вест'!AE60+Будник!AE60</f>
        <v>0</v>
      </c>
      <c r="AF60" s="151">
        <f t="shared" si="49"/>
        <v>0</v>
      </c>
      <c r="AG60" s="123">
        <f>'[5]ПП ВДГ'!AG60+'[5]Корсак Л.Р.'!AG60+'[5]Корсак В.І.'!AG60+[5]Конякіна!AG60</f>
        <v>5407</v>
      </c>
      <c r="AH60" s="123">
        <f>'[5]ПП ВДГ'!AH60+'[5]Корсак Л.Р.'!AH60+'[5]Корсак В.І.'!AH60+[5]Конякіна!AH60</f>
        <v>0</v>
      </c>
      <c r="AI60" s="150">
        <f t="shared" si="50"/>
        <v>5407</v>
      </c>
      <c r="AJ60" s="126">
        <f>'Солар Вест'!AJ60+Будник!AJ60</f>
        <v>0</v>
      </c>
      <c r="AK60" s="126">
        <f>'Солар Вест'!AK60+Будник!AK60</f>
        <v>0</v>
      </c>
      <c r="AL60" s="151">
        <f t="shared" si="51"/>
        <v>0</v>
      </c>
      <c r="AM60" s="123">
        <f>'[5]ПП ВДГ'!AM60+'[5]Корсак Л.Р.'!AM60+'[5]Корсак В.І.'!AM60+[5]Конякіна!AM60</f>
        <v>5202</v>
      </c>
      <c r="AN60" s="123">
        <f>'[5]ПП ВДГ'!AN60+'[5]Корсак Л.Р.'!AN60+'[5]Корсак В.І.'!AN60+[5]Конякіна!AN60</f>
        <v>0</v>
      </c>
      <c r="AO60" s="150">
        <f t="shared" si="52"/>
        <v>5202</v>
      </c>
      <c r="AP60" s="126">
        <f>'Солар Вест'!AP60+Будник!AP60</f>
        <v>0</v>
      </c>
      <c r="AQ60" s="126">
        <f>'Солар Вест'!AQ60+Будник!AQ60</f>
        <v>0</v>
      </c>
      <c r="AR60" s="151">
        <f t="shared" si="53"/>
        <v>0</v>
      </c>
      <c r="AS60" s="123">
        <f>'[5]ПП ВДГ'!AS60+'[5]Корсак Л.Р.'!AS60+'[5]Корсак В.І.'!AS60+[5]Конякіна!AS60</f>
        <v>5006</v>
      </c>
      <c r="AT60" s="123">
        <f>'[5]ПП ВДГ'!AT60+'[5]Корсак Л.Р.'!AT60+'[5]Корсак В.І.'!AT60+[5]Конякіна!AT60</f>
        <v>0</v>
      </c>
      <c r="AU60" s="150">
        <f t="shared" si="54"/>
        <v>5006</v>
      </c>
      <c r="AV60" s="126">
        <f>'Солар Вест'!AV60+Будник!AV60</f>
        <v>0</v>
      </c>
      <c r="AW60" s="126">
        <f>'Солар Вест'!AW60+Будник!AW60</f>
        <v>0</v>
      </c>
      <c r="AX60" s="151">
        <f t="shared" si="55"/>
        <v>0</v>
      </c>
      <c r="AY60" s="123">
        <f>'[5]ПП ВДГ'!AY60+'[5]Корсак Л.Р.'!AY60+'[5]Корсак В.І.'!AY60+[5]Конякіна!AY60</f>
        <v>0</v>
      </c>
      <c r="AZ60" s="123">
        <f>'[5]ПП ВДГ'!AZ60+'[5]Корсак Л.Р.'!AZ60+'[5]Корсак В.І.'!AZ60+[5]Конякіна!AZ60</f>
        <v>0</v>
      </c>
      <c r="BA60" s="150">
        <f t="shared" si="56"/>
        <v>0</v>
      </c>
      <c r="BB60" s="126">
        <f>'Солар Вест'!BB60+Будник!BB60</f>
        <v>0</v>
      </c>
      <c r="BC60" s="126">
        <f>'Солар Вест'!BC60+Будник!BC60</f>
        <v>0</v>
      </c>
      <c r="BD60" s="151">
        <f t="shared" si="57"/>
        <v>0</v>
      </c>
      <c r="BE60" s="126">
        <f>'Солар Вест'!BE60+Будник!BE60</f>
        <v>0</v>
      </c>
      <c r="BF60" s="126">
        <f>'Солар Вест'!BF60+Будник!BF60</f>
        <v>0</v>
      </c>
      <c r="BG60" s="150">
        <f t="shared" si="58"/>
        <v>0</v>
      </c>
      <c r="BH60" s="126">
        <f>'Солар Вест'!BH60+Будник!BH60</f>
        <v>0</v>
      </c>
      <c r="BI60" s="126">
        <f>'Солар Вест'!BI60+Будник!BI60</f>
        <v>0</v>
      </c>
      <c r="BJ60" s="151">
        <f t="shared" si="59"/>
        <v>0</v>
      </c>
      <c r="BK60" s="123">
        <f>'[5]ПП ВДГ'!BK60+'[5]Корсак Л.Р.'!BK60+'[5]Корсак В.І.'!BK60+[5]Конякіна!BK60</f>
        <v>0</v>
      </c>
      <c r="BL60" s="123">
        <f>'[5]ПП ВДГ'!BL60+'[5]Корсак Л.Р.'!BL60+'[5]Корсак В.І.'!BL60+[5]Конякіна!BL60</f>
        <v>0</v>
      </c>
      <c r="BM60" s="150">
        <f t="shared" si="60"/>
        <v>0</v>
      </c>
      <c r="BN60" s="126">
        <f>'Солар Вест'!BN60+Будник!BN60</f>
        <v>0</v>
      </c>
      <c r="BO60" s="126">
        <f>'Солар Вест'!BO60+Будник!BO60</f>
        <v>0</v>
      </c>
      <c r="BP60" s="151">
        <f t="shared" si="61"/>
        <v>0</v>
      </c>
      <c r="BQ60" s="123">
        <f>'[5]ПП ВДГ'!BQ60+'[5]Корсак Л.Р.'!BQ60+'[5]Корсак В.І.'!BQ60+[5]Конякіна!BQ60</f>
        <v>0</v>
      </c>
      <c r="BR60" s="123">
        <f>'[5]ПП ВДГ'!BR60+'[5]Корсак Л.Р.'!BR60+'[5]Корсак В.І.'!BR60+[5]Конякіна!BR60</f>
        <v>0</v>
      </c>
      <c r="BS60" s="150">
        <f t="shared" si="62"/>
        <v>0</v>
      </c>
      <c r="BT60" s="126">
        <f>'Солар Вест'!BT60+Будник!BT60</f>
        <v>0</v>
      </c>
      <c r="BU60" s="126">
        <f>'Солар Вест'!BU60+Будник!BU60</f>
        <v>0</v>
      </c>
      <c r="BV60" s="151">
        <f t="shared" si="63"/>
        <v>0</v>
      </c>
      <c r="BW60" s="123">
        <f t="shared" si="64"/>
        <v>43372</v>
      </c>
      <c r="BX60" s="123">
        <f t="shared" si="64"/>
        <v>0</v>
      </c>
      <c r="BY60" s="150">
        <f t="shared" si="65"/>
        <v>43372</v>
      </c>
      <c r="BZ60" s="123">
        <f t="shared" si="66"/>
        <v>0</v>
      </c>
      <c r="CA60" s="123">
        <f t="shared" si="66"/>
        <v>0</v>
      </c>
      <c r="CB60" s="151">
        <f t="shared" si="67"/>
        <v>0</v>
      </c>
    </row>
    <row r="61" spans="1:80" x14ac:dyDescent="0.2">
      <c r="A61" s="121">
        <v>222</v>
      </c>
      <c r="B61" s="130" t="s">
        <v>39</v>
      </c>
      <c r="C61" s="123">
        <f>'[5]ПП ВДГ'!C61+'[5]Корсак Л.Р.'!C61+'[5]Корсак В.І.'!C61+[5]Конякіна!C61</f>
        <v>0</v>
      </c>
      <c r="D61" s="123">
        <f>'[5]ПП ВДГ'!D61+'[5]Корсак Л.Р.'!D61+'[5]Корсак В.І.'!D61+[5]Конякіна!D61</f>
        <v>0</v>
      </c>
      <c r="E61" s="131">
        <f t="shared" si="40"/>
        <v>0</v>
      </c>
      <c r="F61" s="128">
        <f>'Солар Вест'!F61+Будник!F61</f>
        <v>0</v>
      </c>
      <c r="G61" s="128">
        <f>'Солар Вест'!G61+Будник!G61</f>
        <v>0</v>
      </c>
      <c r="H61" s="132">
        <f t="shared" si="41"/>
        <v>0</v>
      </c>
      <c r="I61" s="123">
        <f>'[5]ПП ВДГ'!I61+'[5]Корсак Л.Р.'!I61+'[5]Корсак В.І.'!I61+[5]Конякіна!I61</f>
        <v>0</v>
      </c>
      <c r="J61" s="123">
        <f>'[5]ПП ВДГ'!J61+'[5]Корсак Л.Р.'!J61+'[5]Корсак В.І.'!J61+[5]Конякіна!J61</f>
        <v>0</v>
      </c>
      <c r="K61" s="131">
        <f t="shared" si="42"/>
        <v>0</v>
      </c>
      <c r="L61" s="128">
        <f>'Солар Вест'!L61+Будник!L61</f>
        <v>0</v>
      </c>
      <c r="M61" s="128">
        <f>'Солар Вест'!M61+Будник!M61</f>
        <v>0</v>
      </c>
      <c r="N61" s="132">
        <f t="shared" si="43"/>
        <v>0</v>
      </c>
      <c r="O61" s="123">
        <f>'[5]ПП ВДГ'!O61+'[5]Корсак Л.Р.'!O61+'[5]Корсак В.І.'!O61+[5]Конякіна!O61</f>
        <v>0</v>
      </c>
      <c r="P61" s="123">
        <f>'[5]ПП ВДГ'!P61+'[5]Корсак Л.Р.'!P61+'[5]Корсак В.І.'!P61+[5]Конякіна!P61</f>
        <v>0</v>
      </c>
      <c r="Q61" s="131">
        <f t="shared" si="44"/>
        <v>0</v>
      </c>
      <c r="R61" s="128">
        <f>'Солар Вест'!R61+Будник!R61</f>
        <v>0</v>
      </c>
      <c r="S61" s="128">
        <f>'Солар Вест'!S61+Будник!S61</f>
        <v>0</v>
      </c>
      <c r="T61" s="132">
        <f t="shared" si="45"/>
        <v>0</v>
      </c>
      <c r="U61" s="123">
        <f>'[5]ПП ВДГ'!U61+'[5]Корсак Л.Р.'!U61+'[5]Корсак В.І.'!U61+[5]Конякіна!U61</f>
        <v>0</v>
      </c>
      <c r="V61" s="123">
        <f>'[5]ПП ВДГ'!V61+'[5]Корсак Л.Р.'!V61+'[5]Корсак В.І.'!V61+[5]Конякіна!V61</f>
        <v>0</v>
      </c>
      <c r="W61" s="131">
        <f t="shared" si="46"/>
        <v>0</v>
      </c>
      <c r="X61" s="128">
        <f>'Солар Вест'!X61+Будник!X61</f>
        <v>550000</v>
      </c>
      <c r="Y61" s="128">
        <f>'Солар Вест'!Y61+Будник!Y61</f>
        <v>0</v>
      </c>
      <c r="Z61" s="132">
        <f t="shared" si="47"/>
        <v>550000</v>
      </c>
      <c r="AA61" s="123">
        <f>'[5]ПП ВДГ'!AA61+'[5]Корсак Л.Р.'!AA61+'[5]Корсак В.І.'!AA61+[5]Конякіна!AA61</f>
        <v>0</v>
      </c>
      <c r="AB61" s="123">
        <f>'[5]ПП ВДГ'!AB61+'[5]Корсак Л.Р.'!AB61+'[5]Корсак В.І.'!AB61+[5]Конякіна!AB61</f>
        <v>0</v>
      </c>
      <c r="AC61" s="131">
        <f t="shared" si="48"/>
        <v>0</v>
      </c>
      <c r="AD61" s="128">
        <f>'Солар Вест'!AD61+Будник!AD61</f>
        <v>300000</v>
      </c>
      <c r="AE61" s="128">
        <f>'Солар Вест'!AE61+Будник!AE61</f>
        <v>0</v>
      </c>
      <c r="AF61" s="132">
        <f t="shared" si="49"/>
        <v>300000</v>
      </c>
      <c r="AG61" s="123">
        <f>'[5]ПП ВДГ'!AG61+'[5]Корсак Л.Р.'!AG61+'[5]Корсак В.І.'!AG61+[5]Конякіна!AG61</f>
        <v>0</v>
      </c>
      <c r="AH61" s="123">
        <f>'[5]ПП ВДГ'!AH61+'[5]Корсак Л.Р.'!AH61+'[5]Корсак В.І.'!AH61+[5]Конякіна!AH61</f>
        <v>0</v>
      </c>
      <c r="AI61" s="131">
        <f t="shared" si="50"/>
        <v>0</v>
      </c>
      <c r="AJ61" s="128">
        <f>'Солар Вест'!AJ61+Будник!AJ61</f>
        <v>0</v>
      </c>
      <c r="AK61" s="128">
        <f>'Солар Вест'!AK61+Будник!AK61</f>
        <v>0</v>
      </c>
      <c r="AL61" s="132">
        <f t="shared" si="51"/>
        <v>0</v>
      </c>
      <c r="AM61" s="123">
        <f>'[5]ПП ВДГ'!AM61+'[5]Корсак Л.Р.'!AM61+'[5]Корсак В.І.'!AM61+[5]Конякіна!AM61</f>
        <v>0</v>
      </c>
      <c r="AN61" s="123">
        <f>'[5]ПП ВДГ'!AN61+'[5]Корсак Л.Р.'!AN61+'[5]Корсак В.І.'!AN61+[5]Конякіна!AN61</f>
        <v>0</v>
      </c>
      <c r="AO61" s="131">
        <f t="shared" si="52"/>
        <v>0</v>
      </c>
      <c r="AP61" s="128">
        <f>'Солар Вест'!AP61+Будник!AP61</f>
        <v>0</v>
      </c>
      <c r="AQ61" s="128">
        <f>'Солар Вест'!AQ61+Будник!AQ61</f>
        <v>0</v>
      </c>
      <c r="AR61" s="132">
        <f t="shared" si="53"/>
        <v>0</v>
      </c>
      <c r="AS61" s="123">
        <f>'[5]ПП ВДГ'!AS61+'[5]Корсак Л.Р.'!AS61+'[5]Корсак В.І.'!AS61+[5]Конякіна!AS61</f>
        <v>0</v>
      </c>
      <c r="AT61" s="123">
        <f>'[5]ПП ВДГ'!AT61+'[5]Корсак Л.Р.'!AT61+'[5]Корсак В.І.'!AT61+[5]Конякіна!AT61</f>
        <v>0</v>
      </c>
      <c r="AU61" s="131">
        <f t="shared" si="54"/>
        <v>0</v>
      </c>
      <c r="AV61" s="128">
        <f>'Солар Вест'!AV61+Будник!AV61</f>
        <v>100000</v>
      </c>
      <c r="AW61" s="128">
        <f>'Солар Вест'!AW61+Будник!AW61</f>
        <v>0</v>
      </c>
      <c r="AX61" s="132">
        <f t="shared" si="55"/>
        <v>100000</v>
      </c>
      <c r="AY61" s="123">
        <f>'[5]ПП ВДГ'!AY61+'[5]Корсак Л.Р.'!AY61+'[5]Корсак В.І.'!AY61+[5]Конякіна!AY61</f>
        <v>0</v>
      </c>
      <c r="AZ61" s="123">
        <f>'[5]ПП ВДГ'!AZ61+'[5]Корсак Л.Р.'!AZ61+'[5]Корсак В.І.'!AZ61+[5]Конякіна!AZ61</f>
        <v>0</v>
      </c>
      <c r="BA61" s="131">
        <f t="shared" si="56"/>
        <v>0</v>
      </c>
      <c r="BB61" s="128">
        <f>'Солар Вест'!BB61+Будник!BB61</f>
        <v>0</v>
      </c>
      <c r="BC61" s="128">
        <f>'Солар Вест'!BC61+Будник!BC61</f>
        <v>0</v>
      </c>
      <c r="BD61" s="132">
        <f t="shared" si="57"/>
        <v>0</v>
      </c>
      <c r="BE61" s="128">
        <f>'Солар Вест'!BE61+Будник!BE61</f>
        <v>6791.51</v>
      </c>
      <c r="BF61" s="128">
        <f>'Солар Вест'!BF61+Будник!BF61</f>
        <v>0</v>
      </c>
      <c r="BG61" s="131">
        <f t="shared" si="58"/>
        <v>6791.51</v>
      </c>
      <c r="BH61" s="128">
        <f>'Солар Вест'!BH61+Будник!BH61</f>
        <v>0</v>
      </c>
      <c r="BI61" s="128">
        <f>'Солар Вест'!BI61+Будник!BI61</f>
        <v>0</v>
      </c>
      <c r="BJ61" s="132">
        <f t="shared" si="59"/>
        <v>0</v>
      </c>
      <c r="BK61" s="123">
        <f>'[5]ПП ВДГ'!BK61+'[5]Корсак Л.Р.'!BK61+'[5]Корсак В.І.'!BK61+[5]Конякіна!BK61</f>
        <v>0</v>
      </c>
      <c r="BL61" s="123">
        <f>'[5]ПП ВДГ'!BL61+'[5]Корсак Л.Р.'!BL61+'[5]Корсак В.І.'!BL61+[5]Конякіна!BL61</f>
        <v>0</v>
      </c>
      <c r="BM61" s="131">
        <f t="shared" si="60"/>
        <v>0</v>
      </c>
      <c r="BN61" s="128">
        <f>'Солар Вест'!BN61+Будник!BN61</f>
        <v>0</v>
      </c>
      <c r="BO61" s="128">
        <f>'Солар Вест'!BO61+Будник!BO61</f>
        <v>0</v>
      </c>
      <c r="BP61" s="132">
        <f t="shared" si="61"/>
        <v>0</v>
      </c>
      <c r="BQ61" s="123">
        <f>'[5]ПП ВДГ'!BQ61+'[5]Корсак Л.Р.'!BQ61+'[5]Корсак В.І.'!BQ61+[5]Конякіна!BQ61</f>
        <v>0</v>
      </c>
      <c r="BR61" s="123">
        <f>'[5]ПП ВДГ'!BR61+'[5]Корсак Л.Р.'!BR61+'[5]Корсак В.І.'!BR61+[5]Конякіна!BR61</f>
        <v>15000</v>
      </c>
      <c r="BS61" s="131">
        <f t="shared" si="62"/>
        <v>15000</v>
      </c>
      <c r="BT61" s="128">
        <f>'Солар Вест'!BT61+Будник!BT61</f>
        <v>0</v>
      </c>
      <c r="BU61" s="128">
        <f>'Солар Вест'!BU61+Будник!BU61</f>
        <v>0</v>
      </c>
      <c r="BV61" s="132">
        <f t="shared" si="63"/>
        <v>0</v>
      </c>
      <c r="BW61" s="123">
        <f t="shared" si="64"/>
        <v>6791.51</v>
      </c>
      <c r="BX61" s="123">
        <f t="shared" si="64"/>
        <v>15000</v>
      </c>
      <c r="BY61" s="131">
        <f t="shared" si="65"/>
        <v>21791.510000000002</v>
      </c>
      <c r="BZ61" s="123">
        <f t="shared" si="66"/>
        <v>950000</v>
      </c>
      <c r="CA61" s="123">
        <f t="shared" si="66"/>
        <v>0</v>
      </c>
      <c r="CB61" s="132">
        <f t="shared" si="67"/>
        <v>950000</v>
      </c>
    </row>
    <row r="62" spans="1:80" ht="25.5" x14ac:dyDescent="0.2">
      <c r="A62" s="121"/>
      <c r="B62" s="138" t="s">
        <v>82</v>
      </c>
      <c r="C62" s="123">
        <f>'[5]ПП ВДГ'!C62+'[5]Корсак Л.Р.'!C62+'[5]Корсак В.І.'!C62+[5]Конякіна!C62</f>
        <v>0</v>
      </c>
      <c r="D62" s="123">
        <f>'[5]ПП ВДГ'!D62+'[5]Корсак Л.Р.'!D62+'[5]Корсак В.І.'!D62+[5]Конякіна!D62</f>
        <v>0</v>
      </c>
      <c r="E62" s="139">
        <f t="shared" si="40"/>
        <v>0</v>
      </c>
      <c r="F62" s="126">
        <f>'Солар Вест'!F62+Будник!F62</f>
        <v>0</v>
      </c>
      <c r="G62" s="126">
        <f>'Солар Вест'!G62+Будник!G62</f>
        <v>0</v>
      </c>
      <c r="H62" s="140">
        <f t="shared" si="41"/>
        <v>0</v>
      </c>
      <c r="I62" s="123">
        <f>'[5]ПП ВДГ'!I62+'[5]Корсак Л.Р.'!I62+'[5]Корсак В.І.'!I62+[5]Конякіна!I62</f>
        <v>0</v>
      </c>
      <c r="J62" s="123">
        <f>'[5]ПП ВДГ'!J62+'[5]Корсак Л.Р.'!J62+'[5]Корсак В.І.'!J62+[5]Конякіна!J62</f>
        <v>0</v>
      </c>
      <c r="K62" s="139">
        <f t="shared" si="42"/>
        <v>0</v>
      </c>
      <c r="L62" s="126">
        <f>'Солар Вест'!L62+Будник!L62</f>
        <v>0</v>
      </c>
      <c r="M62" s="126">
        <f>'Солар Вест'!M62+Будник!M62</f>
        <v>0</v>
      </c>
      <c r="N62" s="140">
        <f t="shared" si="43"/>
        <v>0</v>
      </c>
      <c r="O62" s="123">
        <f>'[5]ПП ВДГ'!O62+'[5]Корсак Л.Р.'!O62+'[5]Корсак В.І.'!O62+[5]Конякіна!O62</f>
        <v>0</v>
      </c>
      <c r="P62" s="123">
        <f>'[5]ПП ВДГ'!P62+'[5]Корсак Л.Р.'!P62+'[5]Корсак В.І.'!P62+[5]Конякіна!P62</f>
        <v>0</v>
      </c>
      <c r="Q62" s="139">
        <f t="shared" si="44"/>
        <v>0</v>
      </c>
      <c r="R62" s="126">
        <f>'Солар Вест'!R62+Будник!R62</f>
        <v>0</v>
      </c>
      <c r="S62" s="126">
        <f>'Солар Вест'!S62+Будник!S62</f>
        <v>0</v>
      </c>
      <c r="T62" s="140">
        <f t="shared" si="45"/>
        <v>0</v>
      </c>
      <c r="U62" s="123">
        <f>'[5]ПП ВДГ'!U62+'[5]Корсак Л.Р.'!U62+'[5]Корсак В.І.'!U62+[5]Конякіна!U62</f>
        <v>0</v>
      </c>
      <c r="V62" s="123">
        <f>'[5]ПП ВДГ'!V62+'[5]Корсак Л.Р.'!V62+'[5]Корсак В.І.'!V62+[5]Конякіна!V62</f>
        <v>0</v>
      </c>
      <c r="W62" s="139">
        <f t="shared" si="46"/>
        <v>0</v>
      </c>
      <c r="X62" s="126">
        <f>'Солар Вест'!X62+Будник!X62</f>
        <v>0</v>
      </c>
      <c r="Y62" s="126">
        <f>'Солар Вест'!Y62+Будник!Y62</f>
        <v>0</v>
      </c>
      <c r="Z62" s="140">
        <f t="shared" si="47"/>
        <v>0</v>
      </c>
      <c r="AA62" s="123">
        <f>'[5]ПП ВДГ'!AA62+'[5]Корсак Л.Р.'!AA62+'[5]Корсак В.І.'!AA62+[5]Конякіна!AA62</f>
        <v>0</v>
      </c>
      <c r="AB62" s="123">
        <f>'[5]ПП ВДГ'!AB62+'[5]Корсак Л.Р.'!AB62+'[5]Корсак В.І.'!AB62+[5]Конякіна!AB62</f>
        <v>0</v>
      </c>
      <c r="AC62" s="139">
        <f t="shared" si="48"/>
        <v>0</v>
      </c>
      <c r="AD62" s="126">
        <f>'Солар Вест'!AD62+Будник!AD62</f>
        <v>0</v>
      </c>
      <c r="AE62" s="126">
        <f>'Солар Вест'!AE62+Будник!AE62</f>
        <v>0</v>
      </c>
      <c r="AF62" s="140">
        <f t="shared" si="49"/>
        <v>0</v>
      </c>
      <c r="AG62" s="123">
        <f>'[5]ПП ВДГ'!AG62+'[5]Корсак Л.Р.'!AG62+'[5]Корсак В.І.'!AG62+[5]Конякіна!AG62</f>
        <v>0</v>
      </c>
      <c r="AH62" s="123">
        <f>'[5]ПП ВДГ'!AH62+'[5]Корсак Л.Р.'!AH62+'[5]Корсак В.І.'!AH62+[5]Конякіна!AH62</f>
        <v>0</v>
      </c>
      <c r="AI62" s="139">
        <f t="shared" si="50"/>
        <v>0</v>
      </c>
      <c r="AJ62" s="126">
        <f>'Солар Вест'!AJ62+Будник!AJ62</f>
        <v>0</v>
      </c>
      <c r="AK62" s="126">
        <f>'Солар Вест'!AK62+Будник!AK62</f>
        <v>0</v>
      </c>
      <c r="AL62" s="140">
        <f t="shared" si="51"/>
        <v>0</v>
      </c>
      <c r="AM62" s="123">
        <f>'[5]ПП ВДГ'!AM62+'[5]Корсак Л.Р.'!AM62+'[5]Корсак В.І.'!AM62+[5]Конякіна!AM62</f>
        <v>0</v>
      </c>
      <c r="AN62" s="123">
        <f>'[5]ПП ВДГ'!AN62+'[5]Корсак Л.Р.'!AN62+'[5]Корсак В.І.'!AN62+[5]Конякіна!AN62</f>
        <v>0</v>
      </c>
      <c r="AO62" s="139">
        <f t="shared" si="52"/>
        <v>0</v>
      </c>
      <c r="AP62" s="126">
        <f>'Солар Вест'!AP62+Будник!AP62</f>
        <v>0</v>
      </c>
      <c r="AQ62" s="126">
        <f>'Солар Вест'!AQ62+Будник!AQ62</f>
        <v>0</v>
      </c>
      <c r="AR62" s="140">
        <f t="shared" si="53"/>
        <v>0</v>
      </c>
      <c r="AS62" s="123">
        <f>'[5]ПП ВДГ'!AS62+'[5]Корсак Л.Р.'!AS62+'[5]Корсак В.І.'!AS62+[5]Конякіна!AS62</f>
        <v>0</v>
      </c>
      <c r="AT62" s="123">
        <f>'[5]ПП ВДГ'!AT62+'[5]Корсак Л.Р.'!AT62+'[5]Корсак В.І.'!AT62+[5]Конякіна!AT62</f>
        <v>0</v>
      </c>
      <c r="AU62" s="139">
        <f t="shared" si="54"/>
        <v>0</v>
      </c>
      <c r="AV62" s="126">
        <f>'Солар Вест'!AV62+Будник!AV62</f>
        <v>0</v>
      </c>
      <c r="AW62" s="126">
        <f>'Солар Вест'!AW62+Будник!AW62</f>
        <v>0</v>
      </c>
      <c r="AX62" s="140">
        <f t="shared" si="55"/>
        <v>0</v>
      </c>
      <c r="AY62" s="123">
        <f>'[5]ПП ВДГ'!AY62+'[5]Корсак Л.Р.'!AY62+'[5]Корсак В.І.'!AY62+[5]Конякіна!AY62</f>
        <v>0</v>
      </c>
      <c r="AZ62" s="123">
        <f>'[5]ПП ВДГ'!AZ62+'[5]Корсак Л.Р.'!AZ62+'[5]Корсак В.І.'!AZ62+[5]Конякіна!AZ62</f>
        <v>0</v>
      </c>
      <c r="BA62" s="139">
        <f t="shared" si="56"/>
        <v>0</v>
      </c>
      <c r="BB62" s="126">
        <f>'Солар Вест'!BB62+Будник!BB62</f>
        <v>0</v>
      </c>
      <c r="BC62" s="126">
        <f>'Солар Вест'!BC62+Будник!BC62</f>
        <v>0</v>
      </c>
      <c r="BD62" s="140">
        <f t="shared" si="57"/>
        <v>0</v>
      </c>
      <c r="BE62" s="126">
        <f>'Солар Вест'!BE62+Будник!BE62</f>
        <v>0</v>
      </c>
      <c r="BF62" s="126">
        <f>'Солар Вест'!BF62+Будник!BF62</f>
        <v>0</v>
      </c>
      <c r="BG62" s="139">
        <f t="shared" si="58"/>
        <v>0</v>
      </c>
      <c r="BH62" s="126">
        <f>'Солар Вест'!BH62+Будник!BH62</f>
        <v>0</v>
      </c>
      <c r="BI62" s="126">
        <f>'Солар Вест'!BI62+Будник!BI62</f>
        <v>0</v>
      </c>
      <c r="BJ62" s="140">
        <f t="shared" si="59"/>
        <v>0</v>
      </c>
      <c r="BK62" s="123">
        <f>'[5]ПП ВДГ'!BK62+'[5]Корсак Л.Р.'!BK62+'[5]Корсак В.І.'!BK62+[5]Конякіна!BK62</f>
        <v>0</v>
      </c>
      <c r="BL62" s="123">
        <f>'[5]ПП ВДГ'!BL62+'[5]Корсак Л.Р.'!BL62+'[5]Корсак В.І.'!BL62+[5]Конякіна!BL62</f>
        <v>0</v>
      </c>
      <c r="BM62" s="139">
        <f t="shared" si="60"/>
        <v>0</v>
      </c>
      <c r="BN62" s="126">
        <f>'Солар Вест'!BN62+Будник!BN62</f>
        <v>0</v>
      </c>
      <c r="BO62" s="126">
        <f>'Солар Вест'!BO62+Будник!BO62</f>
        <v>0</v>
      </c>
      <c r="BP62" s="140">
        <f t="shared" si="61"/>
        <v>0</v>
      </c>
      <c r="BQ62" s="123">
        <f>'[5]ПП ВДГ'!BQ62+'[5]Корсак Л.Р.'!BQ62+'[5]Корсак В.І.'!BQ62+[5]Конякіна!BQ62</f>
        <v>0</v>
      </c>
      <c r="BR62" s="123">
        <f>'[5]ПП ВДГ'!BR62+'[5]Корсак Л.Р.'!BR62+'[5]Корсак В.І.'!BR62+[5]Конякіна!BR62</f>
        <v>0</v>
      </c>
      <c r="BS62" s="139">
        <f t="shared" si="62"/>
        <v>0</v>
      </c>
      <c r="BT62" s="126">
        <f>'Солар Вест'!BT62+Будник!BT62</f>
        <v>0</v>
      </c>
      <c r="BU62" s="126">
        <f>'Солар Вест'!BU62+Будник!BU62</f>
        <v>0</v>
      </c>
      <c r="BV62" s="140">
        <f t="shared" si="63"/>
        <v>0</v>
      </c>
      <c r="BW62" s="123">
        <f t="shared" si="64"/>
        <v>0</v>
      </c>
      <c r="BX62" s="123">
        <f t="shared" si="64"/>
        <v>0</v>
      </c>
      <c r="BY62" s="139">
        <f t="shared" si="65"/>
        <v>0</v>
      </c>
      <c r="BZ62" s="123">
        <f t="shared" si="66"/>
        <v>0</v>
      </c>
      <c r="CA62" s="123">
        <f t="shared" si="66"/>
        <v>0</v>
      </c>
      <c r="CB62" s="140">
        <f t="shared" si="67"/>
        <v>0</v>
      </c>
    </row>
    <row r="63" spans="1:80" x14ac:dyDescent="0.2">
      <c r="A63" s="121">
        <v>223</v>
      </c>
      <c r="B63" s="130" t="s">
        <v>83</v>
      </c>
      <c r="C63" s="123">
        <f>'[5]ПП ВДГ'!C63+'[5]Корсак Л.Р.'!C63+'[5]Корсак В.І.'!C63+[5]Конякіна!C63</f>
        <v>1700</v>
      </c>
      <c r="D63" s="123">
        <f>'[5]ПП ВДГ'!D63+'[5]Корсак Л.Р.'!D63+'[5]Корсак В.І.'!D63+[5]Конякіна!D63</f>
        <v>0</v>
      </c>
      <c r="E63" s="131">
        <f t="shared" si="40"/>
        <v>1700</v>
      </c>
      <c r="F63" s="128">
        <f>'Солар Вест'!F63+Будник!F63</f>
        <v>0</v>
      </c>
      <c r="G63" s="128">
        <f>'Солар Вест'!G63+Будник!G63</f>
        <v>0</v>
      </c>
      <c r="H63" s="132">
        <f t="shared" si="41"/>
        <v>0</v>
      </c>
      <c r="I63" s="123">
        <f>'[5]ПП ВДГ'!I63+'[5]Корсак Л.Р.'!I63+'[5]Корсак В.І.'!I63+[5]Конякіна!I63</f>
        <v>1700</v>
      </c>
      <c r="J63" s="123">
        <f>'[5]ПП ВДГ'!J63+'[5]Корсак Л.Р.'!J63+'[5]Корсак В.І.'!J63+[5]Конякіна!J63</f>
        <v>0</v>
      </c>
      <c r="K63" s="131">
        <f t="shared" si="42"/>
        <v>1700</v>
      </c>
      <c r="L63" s="128">
        <f>'Солар Вест'!L63+Будник!L63</f>
        <v>0</v>
      </c>
      <c r="M63" s="128">
        <f>'Солар Вест'!M63+Будник!M63</f>
        <v>0</v>
      </c>
      <c r="N63" s="132">
        <f t="shared" si="43"/>
        <v>0</v>
      </c>
      <c r="O63" s="123">
        <f>'[5]ПП ВДГ'!O63+'[5]Корсак Л.Р.'!O63+'[5]Корсак В.І.'!O63+[5]Конякіна!O63</f>
        <v>1700</v>
      </c>
      <c r="P63" s="123">
        <f>'[5]ПП ВДГ'!P63+'[5]Корсак Л.Р.'!P63+'[5]Корсак В.І.'!P63+[5]Конякіна!P63</f>
        <v>0</v>
      </c>
      <c r="Q63" s="131">
        <f t="shared" si="44"/>
        <v>1700</v>
      </c>
      <c r="R63" s="128">
        <f>'Солар Вест'!R63+Будник!R63</f>
        <v>0</v>
      </c>
      <c r="S63" s="128">
        <f>'Солар Вест'!S63+Будник!S63</f>
        <v>0</v>
      </c>
      <c r="T63" s="132">
        <f t="shared" si="45"/>
        <v>0</v>
      </c>
      <c r="U63" s="123">
        <f>'[5]ПП ВДГ'!U63+'[5]Корсак Л.Р.'!U63+'[5]Корсак В.І.'!U63+[5]Конякіна!U63</f>
        <v>0</v>
      </c>
      <c r="V63" s="123">
        <f>'[5]ПП ВДГ'!V63+'[5]Корсак Л.Р.'!V63+'[5]Корсак В.І.'!V63+[5]Конякіна!V63</f>
        <v>0</v>
      </c>
      <c r="W63" s="131">
        <f t="shared" si="46"/>
        <v>0</v>
      </c>
      <c r="X63" s="128">
        <f>'Солар Вест'!X63+Будник!X63</f>
        <v>117000</v>
      </c>
      <c r="Y63" s="128">
        <f>'Солар Вест'!Y63+Будник!Y63</f>
        <v>0</v>
      </c>
      <c r="Z63" s="132">
        <f t="shared" si="47"/>
        <v>117000</v>
      </c>
      <c r="AA63" s="123">
        <f>'[5]ПП ВДГ'!AA63+'[5]Корсак Л.Р.'!AA63+'[5]Корсак В.І.'!AA63+[5]Конякіна!AA63</f>
        <v>1800</v>
      </c>
      <c r="AB63" s="123">
        <f>'[5]ПП ВДГ'!AB63+'[5]Корсак Л.Р.'!AB63+'[5]Корсак В.І.'!AB63+[5]Конякіна!AB63</f>
        <v>0</v>
      </c>
      <c r="AC63" s="131">
        <f t="shared" si="48"/>
        <v>1800</v>
      </c>
      <c r="AD63" s="128">
        <f>'Солар Вест'!AD63+Будник!AD63</f>
        <v>0</v>
      </c>
      <c r="AE63" s="128">
        <f>'Солар Вест'!AE63+Будник!AE63</f>
        <v>0</v>
      </c>
      <c r="AF63" s="132">
        <f t="shared" si="49"/>
        <v>0</v>
      </c>
      <c r="AG63" s="123">
        <f>'[5]ПП ВДГ'!AG63+'[5]Корсак Л.Р.'!AG63+'[5]Корсак В.І.'!AG63+[5]Конякіна!AG63</f>
        <v>1800</v>
      </c>
      <c r="AH63" s="123">
        <f>'[5]ПП ВДГ'!AH63+'[5]Корсак Л.Р.'!AH63+'[5]Корсак В.І.'!AH63+[5]Конякіна!AH63</f>
        <v>0</v>
      </c>
      <c r="AI63" s="131">
        <f t="shared" si="50"/>
        <v>1800</v>
      </c>
      <c r="AJ63" s="128">
        <f>'Солар Вест'!AJ63+Будник!AJ63</f>
        <v>0</v>
      </c>
      <c r="AK63" s="128">
        <f>'Солар Вест'!AK63+Будник!AK63</f>
        <v>0</v>
      </c>
      <c r="AL63" s="132">
        <f t="shared" si="51"/>
        <v>0</v>
      </c>
      <c r="AM63" s="123">
        <f>'[5]ПП ВДГ'!AM63+'[5]Корсак Л.Р.'!AM63+'[5]Корсак В.І.'!AM63+[5]Конякіна!AM63</f>
        <v>1750</v>
      </c>
      <c r="AN63" s="123">
        <f>'[5]ПП ВДГ'!AN63+'[5]Корсак Л.Р.'!AN63+'[5]Корсак В.І.'!AN63+[5]Конякіна!AN63</f>
        <v>0</v>
      </c>
      <c r="AO63" s="131">
        <f t="shared" si="52"/>
        <v>1750</v>
      </c>
      <c r="AP63" s="128">
        <f>'Солар Вест'!AP63+Будник!AP63</f>
        <v>0</v>
      </c>
      <c r="AQ63" s="128">
        <f>'Солар Вест'!AQ63+Будник!AQ63</f>
        <v>2500</v>
      </c>
      <c r="AR63" s="132">
        <f t="shared" si="53"/>
        <v>2500</v>
      </c>
      <c r="AS63" s="123">
        <f>'[5]ПП ВДГ'!AS63+'[5]Корсак Л.Р.'!AS63+'[5]Корсак В.І.'!AS63+[5]Конякіна!AS63</f>
        <v>1800</v>
      </c>
      <c r="AT63" s="123">
        <f>'[5]ПП ВДГ'!AT63+'[5]Корсак Л.Р.'!AT63+'[5]Корсак В.І.'!AT63+[5]Конякіна!AT63</f>
        <v>0</v>
      </c>
      <c r="AU63" s="131">
        <f t="shared" si="54"/>
        <v>1800</v>
      </c>
      <c r="AV63" s="128">
        <f>'Солар Вест'!AV63+Будник!AV63</f>
        <v>0</v>
      </c>
      <c r="AW63" s="128">
        <f>'Солар Вест'!AW63+Будник!AW63</f>
        <v>500</v>
      </c>
      <c r="AX63" s="132">
        <f t="shared" si="55"/>
        <v>500</v>
      </c>
      <c r="AY63" s="123">
        <f>'[5]ПП ВДГ'!AY63+'[5]Корсак Л.Р.'!AY63+'[5]Корсак В.І.'!AY63+[5]Конякіна!AY63</f>
        <v>1700</v>
      </c>
      <c r="AZ63" s="123">
        <f>'[5]ПП ВДГ'!AZ63+'[5]Корсак Л.Р.'!AZ63+'[5]Корсак В.І.'!AZ63+[5]Конякіна!AZ63</f>
        <v>0</v>
      </c>
      <c r="BA63" s="131">
        <f t="shared" si="56"/>
        <v>1700</v>
      </c>
      <c r="BB63" s="128">
        <f>'Солар Вест'!BB63+Будник!BB63</f>
        <v>0</v>
      </c>
      <c r="BC63" s="128">
        <f>'Солар Вест'!BC63+Будник!BC63</f>
        <v>0</v>
      </c>
      <c r="BD63" s="132">
        <f t="shared" si="57"/>
        <v>0</v>
      </c>
      <c r="BE63" s="128">
        <f>'Солар Вест'!BE63+Будник!BE63</f>
        <v>0</v>
      </c>
      <c r="BF63" s="128">
        <f>'Солар Вест'!BF63+Будник!BF63</f>
        <v>99000</v>
      </c>
      <c r="BG63" s="131">
        <f t="shared" si="58"/>
        <v>99000</v>
      </c>
      <c r="BH63" s="128">
        <f>'Солар Вест'!BH63+Будник!BH63</f>
        <v>0</v>
      </c>
      <c r="BI63" s="128">
        <f>'Солар Вест'!BI63+Будник!BI63</f>
        <v>0</v>
      </c>
      <c r="BJ63" s="132">
        <f t="shared" si="59"/>
        <v>0</v>
      </c>
      <c r="BK63" s="123">
        <f>'[5]ПП ВДГ'!BK63+'[5]Корсак Л.Р.'!BK63+'[5]Корсак В.І.'!BK63+[5]Конякіна!BK63</f>
        <v>1850</v>
      </c>
      <c r="BL63" s="123">
        <f>'[5]ПП ВДГ'!BL63+'[5]Корсак Л.Р.'!BL63+'[5]Корсак В.І.'!BL63+[5]Конякіна!BL63</f>
        <v>0</v>
      </c>
      <c r="BM63" s="131">
        <f t="shared" si="60"/>
        <v>1850</v>
      </c>
      <c r="BN63" s="128">
        <f>'Солар Вест'!BN63+Будник!BN63</f>
        <v>0</v>
      </c>
      <c r="BO63" s="128">
        <f>'Солар Вест'!BO63+Будник!BO63</f>
        <v>0</v>
      </c>
      <c r="BP63" s="132">
        <f t="shared" si="61"/>
        <v>0</v>
      </c>
      <c r="BQ63" s="123">
        <f>'[5]ПП ВДГ'!BQ63+'[5]Корсак Л.Р.'!BQ63+'[5]Корсак В.І.'!BQ63+[5]Конякіна!BQ63</f>
        <v>1900</v>
      </c>
      <c r="BR63" s="123">
        <f>'[5]ПП ВДГ'!BR63+'[5]Корсак Л.Р.'!BR63+'[5]Корсак В.І.'!BR63+[5]Конякіна!BR63</f>
        <v>0</v>
      </c>
      <c r="BS63" s="131">
        <f t="shared" si="62"/>
        <v>1900</v>
      </c>
      <c r="BT63" s="128">
        <f>'Солар Вест'!BT63+Будник!BT63</f>
        <v>0</v>
      </c>
      <c r="BU63" s="128">
        <f>'Солар Вест'!BU63+Будник!BU63</f>
        <v>0</v>
      </c>
      <c r="BV63" s="132">
        <f t="shared" si="63"/>
        <v>0</v>
      </c>
      <c r="BW63" s="123">
        <f t="shared" si="64"/>
        <v>17700</v>
      </c>
      <c r="BX63" s="123">
        <f t="shared" si="64"/>
        <v>99000</v>
      </c>
      <c r="BY63" s="131">
        <f t="shared" si="65"/>
        <v>116700</v>
      </c>
      <c r="BZ63" s="123">
        <f t="shared" si="66"/>
        <v>117000</v>
      </c>
      <c r="CA63" s="123">
        <f t="shared" si="66"/>
        <v>3000</v>
      </c>
      <c r="CB63" s="132">
        <f t="shared" si="67"/>
        <v>120000</v>
      </c>
    </row>
    <row r="64" spans="1:80" ht="25.5" x14ac:dyDescent="0.2">
      <c r="A64" s="121"/>
      <c r="B64" s="138" t="s">
        <v>84</v>
      </c>
      <c r="C64" s="123">
        <f>'[5]ПП ВДГ'!C64+'[5]Корсак Л.Р.'!C64+'[5]Корсак В.І.'!C64+[5]Конякіна!C64</f>
        <v>1700</v>
      </c>
      <c r="D64" s="123">
        <f>'[5]ПП ВДГ'!D64+'[5]Корсак Л.Р.'!D64+'[5]Корсак В.І.'!D64+[5]Конякіна!D64</f>
        <v>0</v>
      </c>
      <c r="E64" s="139">
        <f t="shared" si="40"/>
        <v>1700</v>
      </c>
      <c r="F64" s="126">
        <f>'Солар Вест'!F64+Будник!F64</f>
        <v>0</v>
      </c>
      <c r="G64" s="126">
        <f>'Солар Вест'!G64+Будник!G64</f>
        <v>0</v>
      </c>
      <c r="H64" s="140">
        <f t="shared" si="41"/>
        <v>0</v>
      </c>
      <c r="I64" s="123">
        <f>'[5]ПП ВДГ'!I64+'[5]Корсак Л.Р.'!I64+'[5]Корсак В.І.'!I64+[5]Конякіна!I64</f>
        <v>1700</v>
      </c>
      <c r="J64" s="123">
        <f>'[5]ПП ВДГ'!J64+'[5]Корсак Л.Р.'!J64+'[5]Корсак В.І.'!J64+[5]Конякіна!J64</f>
        <v>0</v>
      </c>
      <c r="K64" s="139">
        <f t="shared" si="42"/>
        <v>1700</v>
      </c>
      <c r="L64" s="126">
        <f>'Солар Вест'!L64+Будник!L64</f>
        <v>0</v>
      </c>
      <c r="M64" s="126">
        <f>'Солар Вест'!M64+Будник!M64</f>
        <v>0</v>
      </c>
      <c r="N64" s="140">
        <f t="shared" si="43"/>
        <v>0</v>
      </c>
      <c r="O64" s="123">
        <f>'[5]ПП ВДГ'!O64+'[5]Корсак Л.Р.'!O64+'[5]Корсак В.І.'!O64+[5]Конякіна!O64</f>
        <v>1700</v>
      </c>
      <c r="P64" s="123">
        <f>'[5]ПП ВДГ'!P64+'[5]Корсак Л.Р.'!P64+'[5]Корсак В.І.'!P64+[5]Конякіна!P64</f>
        <v>0</v>
      </c>
      <c r="Q64" s="139">
        <f t="shared" si="44"/>
        <v>1700</v>
      </c>
      <c r="R64" s="126">
        <f>'Солар Вест'!R64+Будник!R64</f>
        <v>0</v>
      </c>
      <c r="S64" s="126">
        <f>'Солар Вест'!S64+Будник!S64</f>
        <v>0</v>
      </c>
      <c r="T64" s="140">
        <f t="shared" si="45"/>
        <v>0</v>
      </c>
      <c r="U64" s="123">
        <f>'[5]ПП ВДГ'!U64+'[5]Корсак Л.Р.'!U64+'[5]Корсак В.І.'!U64+[5]Конякіна!U64</f>
        <v>0</v>
      </c>
      <c r="V64" s="123">
        <f>'[5]ПП ВДГ'!V64+'[5]Корсак Л.Р.'!V64+'[5]Корсак В.І.'!V64+[5]Конякіна!V64</f>
        <v>0</v>
      </c>
      <c r="W64" s="139">
        <f t="shared" si="46"/>
        <v>0</v>
      </c>
      <c r="X64" s="126">
        <f>'Солар Вест'!X64+Будник!X64</f>
        <v>0</v>
      </c>
      <c r="Y64" s="126">
        <f>'Солар Вест'!Y64+Будник!Y64</f>
        <v>0</v>
      </c>
      <c r="Z64" s="140">
        <f t="shared" si="47"/>
        <v>0</v>
      </c>
      <c r="AA64" s="123">
        <f>'[5]ПП ВДГ'!AA64+'[5]Корсак Л.Р.'!AA64+'[5]Корсак В.І.'!AA64+[5]Конякіна!AA64</f>
        <v>1800</v>
      </c>
      <c r="AB64" s="123">
        <f>'[5]ПП ВДГ'!AB64+'[5]Корсак Л.Р.'!AB64+'[5]Корсак В.І.'!AB64+[5]Конякіна!AB64</f>
        <v>0</v>
      </c>
      <c r="AC64" s="139">
        <f t="shared" si="48"/>
        <v>1800</v>
      </c>
      <c r="AD64" s="126">
        <f>'Солар Вест'!AD64+Будник!AD64</f>
        <v>0</v>
      </c>
      <c r="AE64" s="126">
        <f>'Солар Вест'!AE64+Будник!AE64</f>
        <v>0</v>
      </c>
      <c r="AF64" s="140">
        <f t="shared" si="49"/>
        <v>0</v>
      </c>
      <c r="AG64" s="123">
        <f>'[5]ПП ВДГ'!AG64+'[5]Корсак Л.Р.'!AG64+'[5]Корсак В.І.'!AG64+[5]Конякіна!AG64</f>
        <v>1800</v>
      </c>
      <c r="AH64" s="123">
        <f>'[5]ПП ВДГ'!AH64+'[5]Корсак Л.Р.'!AH64+'[5]Корсак В.І.'!AH64+[5]Конякіна!AH64</f>
        <v>0</v>
      </c>
      <c r="AI64" s="139">
        <f t="shared" si="50"/>
        <v>1800</v>
      </c>
      <c r="AJ64" s="126">
        <f>'Солар Вест'!AJ64+Будник!AJ64</f>
        <v>0</v>
      </c>
      <c r="AK64" s="126">
        <f>'Солар Вест'!AK64+Будник!AK64</f>
        <v>0</v>
      </c>
      <c r="AL64" s="140">
        <f t="shared" si="51"/>
        <v>0</v>
      </c>
      <c r="AM64" s="123">
        <f>'[5]ПП ВДГ'!AM64+'[5]Корсак Л.Р.'!AM64+'[5]Корсак В.І.'!AM64+[5]Конякіна!AM64</f>
        <v>1750</v>
      </c>
      <c r="AN64" s="123">
        <f>'[5]ПП ВДГ'!AN64+'[5]Корсак Л.Р.'!AN64+'[5]Корсак В.І.'!AN64+[5]Конякіна!AN64</f>
        <v>0</v>
      </c>
      <c r="AO64" s="139">
        <f t="shared" si="52"/>
        <v>1750</v>
      </c>
      <c r="AP64" s="126">
        <f>'Солар Вест'!AP64+Будник!AP64</f>
        <v>0</v>
      </c>
      <c r="AQ64" s="126">
        <f>'Солар Вест'!AQ64+Будник!AQ64</f>
        <v>0</v>
      </c>
      <c r="AR64" s="140">
        <f t="shared" si="53"/>
        <v>0</v>
      </c>
      <c r="AS64" s="123">
        <f>'[5]ПП ВДГ'!AS64+'[5]Корсак Л.Р.'!AS64+'[5]Корсак В.І.'!AS64+[5]Конякіна!AS64</f>
        <v>1800</v>
      </c>
      <c r="AT64" s="123">
        <f>'[5]ПП ВДГ'!AT64+'[5]Корсак Л.Р.'!AT64+'[5]Корсак В.І.'!AT64+[5]Конякіна!AT64</f>
        <v>0</v>
      </c>
      <c r="AU64" s="139">
        <f t="shared" si="54"/>
        <v>1800</v>
      </c>
      <c r="AV64" s="126">
        <f>'Солар Вест'!AV64+Будник!AV64</f>
        <v>0</v>
      </c>
      <c r="AW64" s="126">
        <f>'Солар Вест'!AW64+Будник!AW64</f>
        <v>0</v>
      </c>
      <c r="AX64" s="140">
        <f t="shared" si="55"/>
        <v>0</v>
      </c>
      <c r="AY64" s="123">
        <f>'[5]ПП ВДГ'!AY64+'[5]Корсак Л.Р.'!AY64+'[5]Корсак В.І.'!AY64+[5]Конякіна!AY64</f>
        <v>1700</v>
      </c>
      <c r="AZ64" s="123">
        <f>'[5]ПП ВДГ'!AZ64+'[5]Корсак Л.Р.'!AZ64+'[5]Корсак В.І.'!AZ64+[5]Конякіна!AZ64</f>
        <v>0</v>
      </c>
      <c r="BA64" s="139">
        <f t="shared" si="56"/>
        <v>1700</v>
      </c>
      <c r="BB64" s="126">
        <f>'Солар Вест'!BB64+Будник!BB64</f>
        <v>0</v>
      </c>
      <c r="BC64" s="126">
        <f>'Солар Вест'!BC64+Будник!BC64</f>
        <v>0</v>
      </c>
      <c r="BD64" s="140">
        <f t="shared" si="57"/>
        <v>0</v>
      </c>
      <c r="BE64" s="126">
        <f>'Солар Вест'!BE64+Будник!BE64</f>
        <v>0</v>
      </c>
      <c r="BF64" s="126">
        <f>'Солар Вест'!BF64+Будник!BF64</f>
        <v>0</v>
      </c>
      <c r="BG64" s="139">
        <f t="shared" si="58"/>
        <v>0</v>
      </c>
      <c r="BH64" s="126">
        <f>'Солар Вест'!BH64+Будник!BH64</f>
        <v>0</v>
      </c>
      <c r="BI64" s="126">
        <f>'Солар Вест'!BI64+Будник!BI64</f>
        <v>0</v>
      </c>
      <c r="BJ64" s="140">
        <f t="shared" si="59"/>
        <v>0</v>
      </c>
      <c r="BK64" s="123">
        <f>'[5]ПП ВДГ'!BK64+'[5]Корсак Л.Р.'!BK64+'[5]Корсак В.І.'!BK64+[5]Конякіна!BK64</f>
        <v>1850</v>
      </c>
      <c r="BL64" s="123">
        <f>'[5]ПП ВДГ'!BL64+'[5]Корсак Л.Р.'!BL64+'[5]Корсак В.І.'!BL64+[5]Конякіна!BL64</f>
        <v>0</v>
      </c>
      <c r="BM64" s="139">
        <f t="shared" si="60"/>
        <v>1850</v>
      </c>
      <c r="BN64" s="126">
        <f>'Солар Вест'!BN64+Будник!BN64</f>
        <v>0</v>
      </c>
      <c r="BO64" s="126">
        <f>'Солар Вест'!BO64+Будник!BO64</f>
        <v>0</v>
      </c>
      <c r="BP64" s="140">
        <f t="shared" si="61"/>
        <v>0</v>
      </c>
      <c r="BQ64" s="123">
        <f>'[5]ПП ВДГ'!BQ64+'[5]Корсак Л.Р.'!BQ64+'[5]Корсак В.І.'!BQ64+[5]Конякіна!BQ64</f>
        <v>1900</v>
      </c>
      <c r="BR64" s="123">
        <f>'[5]ПП ВДГ'!BR64+'[5]Корсак Л.Р.'!BR64+'[5]Корсак В.І.'!BR64+[5]Конякіна!BR64</f>
        <v>0</v>
      </c>
      <c r="BS64" s="139">
        <f t="shared" si="62"/>
        <v>1900</v>
      </c>
      <c r="BT64" s="126">
        <f>'Солар Вест'!BT64+Будник!BT64</f>
        <v>0</v>
      </c>
      <c r="BU64" s="126">
        <f>'Солар Вест'!BU64+Будник!BU64</f>
        <v>0</v>
      </c>
      <c r="BV64" s="140">
        <f t="shared" si="63"/>
        <v>0</v>
      </c>
      <c r="BW64" s="123">
        <f t="shared" si="64"/>
        <v>17700</v>
      </c>
      <c r="BX64" s="123">
        <f t="shared" si="64"/>
        <v>0</v>
      </c>
      <c r="BY64" s="139">
        <f t="shared" si="65"/>
        <v>17700</v>
      </c>
      <c r="BZ64" s="123">
        <f t="shared" si="66"/>
        <v>0</v>
      </c>
      <c r="CA64" s="123">
        <f t="shared" si="66"/>
        <v>0</v>
      </c>
      <c r="CB64" s="140">
        <f t="shared" si="67"/>
        <v>0</v>
      </c>
    </row>
    <row r="65" spans="1:116" ht="25.5" x14ac:dyDescent="0.2">
      <c r="A65" s="121">
        <v>224</v>
      </c>
      <c r="B65" s="130" t="s">
        <v>85</v>
      </c>
      <c r="C65" s="123">
        <f>'[5]ПП ВДГ'!C65+'[5]Корсак Л.Р.'!C65+'[5]Корсак В.І.'!C65+[5]Конякіна!C65</f>
        <v>0</v>
      </c>
      <c r="D65" s="123">
        <f>'[5]ПП ВДГ'!D65+'[5]Корсак Л.Р.'!D65+'[5]Корсак В.І.'!D65+[5]Конякіна!D65</f>
        <v>0</v>
      </c>
      <c r="E65" s="131">
        <f t="shared" si="40"/>
        <v>0</v>
      </c>
      <c r="F65" s="128">
        <f>'Солар Вест'!F65+Будник!F65</f>
        <v>0</v>
      </c>
      <c r="G65" s="128">
        <f>'Солар Вест'!G65+Будник!G65</f>
        <v>0</v>
      </c>
      <c r="H65" s="132">
        <f t="shared" si="41"/>
        <v>0</v>
      </c>
      <c r="I65" s="123">
        <f>'[5]ПП ВДГ'!I65+'[5]Корсак Л.Р.'!I65+'[5]Корсак В.І.'!I65+[5]Конякіна!I65</f>
        <v>0</v>
      </c>
      <c r="J65" s="123">
        <f>'[5]ПП ВДГ'!J65+'[5]Корсак Л.Р.'!J65+'[5]Корсак В.І.'!J65+[5]Конякіна!J65</f>
        <v>0</v>
      </c>
      <c r="K65" s="131">
        <f t="shared" si="42"/>
        <v>0</v>
      </c>
      <c r="L65" s="128">
        <f>'Солар Вест'!L65+Будник!L65</f>
        <v>0</v>
      </c>
      <c r="M65" s="128">
        <f>'Солар Вест'!M65+Будник!M65</f>
        <v>0</v>
      </c>
      <c r="N65" s="132">
        <f t="shared" si="43"/>
        <v>0</v>
      </c>
      <c r="O65" s="123">
        <f>'[5]ПП ВДГ'!O65+'[5]Корсак Л.Р.'!O65+'[5]Корсак В.І.'!O65+[5]Конякіна!O65</f>
        <v>0</v>
      </c>
      <c r="P65" s="123">
        <f>'[5]ПП ВДГ'!P65+'[5]Корсак Л.Р.'!P65+'[5]Корсак В.І.'!P65+[5]Конякіна!P65</f>
        <v>0</v>
      </c>
      <c r="Q65" s="131">
        <f t="shared" si="44"/>
        <v>0</v>
      </c>
      <c r="R65" s="128">
        <f>'Солар Вест'!R65+Будник!R65</f>
        <v>0</v>
      </c>
      <c r="S65" s="128">
        <f>'Солар Вест'!S65+Будник!S65</f>
        <v>0</v>
      </c>
      <c r="T65" s="132">
        <f t="shared" si="45"/>
        <v>0</v>
      </c>
      <c r="U65" s="123">
        <f>'[5]ПП ВДГ'!U65+'[5]Корсак Л.Р.'!U65+'[5]Корсак В.І.'!U65+[5]Конякіна!U65</f>
        <v>0</v>
      </c>
      <c r="V65" s="123">
        <f>'[5]ПП ВДГ'!V65+'[5]Корсак Л.Р.'!V65+'[5]Корсак В.І.'!V65+[5]Конякіна!V65</f>
        <v>0</v>
      </c>
      <c r="W65" s="131">
        <f t="shared" si="46"/>
        <v>0</v>
      </c>
      <c r="X65" s="128">
        <f>'Солар Вест'!X65+Будник!X65</f>
        <v>0</v>
      </c>
      <c r="Y65" s="128">
        <f>'Солар Вест'!Y65+Будник!Y65</f>
        <v>0</v>
      </c>
      <c r="Z65" s="132">
        <f t="shared" si="47"/>
        <v>0</v>
      </c>
      <c r="AA65" s="123">
        <f>'[5]ПП ВДГ'!AA65+'[5]Корсак Л.Р.'!AA65+'[5]Корсак В.І.'!AA65+[5]Конякіна!AA65</f>
        <v>0</v>
      </c>
      <c r="AB65" s="123">
        <f>'[5]ПП ВДГ'!AB65+'[5]Корсак Л.Р.'!AB65+'[5]Корсак В.І.'!AB65+[5]Конякіна!AB65</f>
        <v>0</v>
      </c>
      <c r="AC65" s="131">
        <f t="shared" si="48"/>
        <v>0</v>
      </c>
      <c r="AD65" s="128">
        <f>'Солар Вест'!AD65+Будник!AD65</f>
        <v>0</v>
      </c>
      <c r="AE65" s="128">
        <f>'Солар Вест'!AE65+Будник!AE65</f>
        <v>0</v>
      </c>
      <c r="AF65" s="132">
        <f t="shared" si="49"/>
        <v>0</v>
      </c>
      <c r="AG65" s="123">
        <f>'[5]ПП ВДГ'!AG65+'[5]Корсак Л.Р.'!AG65+'[5]Корсак В.І.'!AG65+[5]Конякіна!AG65</f>
        <v>0</v>
      </c>
      <c r="AH65" s="123">
        <f>'[5]ПП ВДГ'!AH65+'[5]Корсак Л.Р.'!AH65+'[5]Корсак В.І.'!AH65+[5]Конякіна!AH65</f>
        <v>0</v>
      </c>
      <c r="AI65" s="131">
        <f t="shared" si="50"/>
        <v>0</v>
      </c>
      <c r="AJ65" s="128">
        <f>'Солар Вест'!AJ65+Будник!AJ65</f>
        <v>0</v>
      </c>
      <c r="AK65" s="128">
        <f>'Солар Вест'!AK65+Будник!AK65</f>
        <v>0</v>
      </c>
      <c r="AL65" s="132">
        <f t="shared" si="51"/>
        <v>0</v>
      </c>
      <c r="AM65" s="123">
        <f>'[5]ПП ВДГ'!AM65+'[5]Корсак Л.Р.'!AM65+'[5]Корсак В.І.'!AM65+[5]Конякіна!AM65</f>
        <v>0</v>
      </c>
      <c r="AN65" s="123">
        <f>'[5]ПП ВДГ'!AN65+'[5]Корсак Л.Р.'!AN65+'[5]Корсак В.І.'!AN65+[5]Конякіна!AN65</f>
        <v>0</v>
      </c>
      <c r="AO65" s="131">
        <f t="shared" si="52"/>
        <v>0</v>
      </c>
      <c r="AP65" s="128">
        <f>'Солар Вест'!AP65+Будник!AP65</f>
        <v>0</v>
      </c>
      <c r="AQ65" s="128">
        <f>'Солар Вест'!AQ65+Будник!AQ65</f>
        <v>0</v>
      </c>
      <c r="AR65" s="132">
        <f t="shared" si="53"/>
        <v>0</v>
      </c>
      <c r="AS65" s="123">
        <f>'[5]ПП ВДГ'!AS65+'[5]Корсак Л.Р.'!AS65+'[5]Корсак В.І.'!AS65+[5]Конякіна!AS65</f>
        <v>0</v>
      </c>
      <c r="AT65" s="123">
        <f>'[5]ПП ВДГ'!AT65+'[5]Корсак Л.Р.'!AT65+'[5]Корсак В.І.'!AT65+[5]Конякіна!AT65</f>
        <v>0</v>
      </c>
      <c r="AU65" s="131">
        <f t="shared" si="54"/>
        <v>0</v>
      </c>
      <c r="AV65" s="128">
        <f>'Солар Вест'!AV65+Будник!AV65</f>
        <v>0</v>
      </c>
      <c r="AW65" s="128">
        <f>'Солар Вест'!AW65+Будник!AW65</f>
        <v>0</v>
      </c>
      <c r="AX65" s="132">
        <f t="shared" si="55"/>
        <v>0</v>
      </c>
      <c r="AY65" s="123">
        <f>'[5]ПП ВДГ'!AY65+'[5]Корсак Л.Р.'!AY65+'[5]Корсак В.І.'!AY65+[5]Конякіна!AY65</f>
        <v>0</v>
      </c>
      <c r="AZ65" s="123">
        <f>'[5]ПП ВДГ'!AZ65+'[5]Корсак Л.Р.'!AZ65+'[5]Корсак В.І.'!AZ65+[5]Конякіна!AZ65</f>
        <v>0</v>
      </c>
      <c r="BA65" s="131">
        <f t="shared" si="56"/>
        <v>0</v>
      </c>
      <c r="BB65" s="128">
        <f>'Солар Вест'!BB65+Будник!BB65</f>
        <v>0</v>
      </c>
      <c r="BC65" s="128">
        <f>'Солар Вест'!BC65+Будник!BC65</f>
        <v>0</v>
      </c>
      <c r="BD65" s="132">
        <f t="shared" si="57"/>
        <v>0</v>
      </c>
      <c r="BE65" s="128">
        <f>'Солар Вест'!BE65+Будник!BE65</f>
        <v>0</v>
      </c>
      <c r="BF65" s="128">
        <f>'Солар Вест'!BF65+Будник!BF65</f>
        <v>0</v>
      </c>
      <c r="BG65" s="131">
        <f t="shared" si="58"/>
        <v>0</v>
      </c>
      <c r="BH65" s="128">
        <f>'Солар Вест'!BH65+Будник!BH65</f>
        <v>0</v>
      </c>
      <c r="BI65" s="128">
        <f>'Солар Вест'!BI65+Будник!BI65</f>
        <v>0</v>
      </c>
      <c r="BJ65" s="132">
        <f t="shared" si="59"/>
        <v>0</v>
      </c>
      <c r="BK65" s="123">
        <f>'[5]ПП ВДГ'!BK65+'[5]Корсак Л.Р.'!BK65+'[5]Корсак В.І.'!BK65+[5]Конякіна!BK65</f>
        <v>0</v>
      </c>
      <c r="BL65" s="123">
        <f>'[5]ПП ВДГ'!BL65+'[5]Корсак Л.Р.'!BL65+'[5]Корсак В.І.'!BL65+[5]Конякіна!BL65</f>
        <v>0</v>
      </c>
      <c r="BM65" s="131">
        <f t="shared" si="60"/>
        <v>0</v>
      </c>
      <c r="BN65" s="128">
        <f>'Солар Вест'!BN65+Будник!BN65</f>
        <v>0</v>
      </c>
      <c r="BO65" s="128">
        <f>'Солар Вест'!BO65+Будник!BO65</f>
        <v>0</v>
      </c>
      <c r="BP65" s="132">
        <f t="shared" si="61"/>
        <v>0</v>
      </c>
      <c r="BQ65" s="123">
        <f>'[5]ПП ВДГ'!BQ65+'[5]Корсак Л.Р.'!BQ65+'[5]Корсак В.І.'!BQ65+[5]Конякіна!BQ65</f>
        <v>0</v>
      </c>
      <c r="BR65" s="123">
        <f>'[5]ПП ВДГ'!BR65+'[5]Корсак Л.Р.'!BR65+'[5]Корсак В.І.'!BR65+[5]Конякіна!BR65</f>
        <v>0</v>
      </c>
      <c r="BS65" s="131">
        <f t="shared" si="62"/>
        <v>0</v>
      </c>
      <c r="BT65" s="128">
        <f>'Солар Вест'!BT65+Будник!BT65</f>
        <v>0</v>
      </c>
      <c r="BU65" s="128">
        <f>'Солар Вест'!BU65+Будник!BU65</f>
        <v>0</v>
      </c>
      <c r="BV65" s="132">
        <f t="shared" si="63"/>
        <v>0</v>
      </c>
      <c r="BW65" s="123">
        <f t="shared" si="64"/>
        <v>0</v>
      </c>
      <c r="BX65" s="123">
        <f t="shared" si="64"/>
        <v>0</v>
      </c>
      <c r="BY65" s="131">
        <f t="shared" si="65"/>
        <v>0</v>
      </c>
      <c r="BZ65" s="123">
        <f t="shared" si="66"/>
        <v>0</v>
      </c>
      <c r="CA65" s="123">
        <f t="shared" si="66"/>
        <v>0</v>
      </c>
      <c r="CB65" s="132">
        <f t="shared" si="67"/>
        <v>0</v>
      </c>
    </row>
    <row r="66" spans="1:116" x14ac:dyDescent="0.2">
      <c r="A66" s="121">
        <v>321</v>
      </c>
      <c r="B66" s="130" t="s">
        <v>86</v>
      </c>
      <c r="C66" s="123">
        <f>'[5]ПП ВДГ'!C66+'[5]Корсак Л.Р.'!C66+'[5]Корсак В.І.'!C66+[5]Конякіна!C66</f>
        <v>0</v>
      </c>
      <c r="D66" s="123">
        <f>'[5]ПП ВДГ'!D66+'[5]Корсак Л.Р.'!D66+'[5]Корсак В.І.'!D66+[5]Конякіна!D66</f>
        <v>0</v>
      </c>
      <c r="E66" s="131">
        <f t="shared" si="40"/>
        <v>0</v>
      </c>
      <c r="F66" s="128">
        <f>'Солар Вест'!F66+Будник!F66</f>
        <v>0</v>
      </c>
      <c r="G66" s="128">
        <f>'Солар Вест'!G66+Будник!G66</f>
        <v>0</v>
      </c>
      <c r="H66" s="132">
        <f t="shared" si="41"/>
        <v>0</v>
      </c>
      <c r="I66" s="123">
        <f>'[5]ПП ВДГ'!I66+'[5]Корсак Л.Р.'!I66+'[5]Корсак В.І.'!I66+[5]Конякіна!I66</f>
        <v>0</v>
      </c>
      <c r="J66" s="123">
        <f>'[5]ПП ВДГ'!J66+'[5]Корсак Л.Р.'!J66+'[5]Корсак В.І.'!J66+[5]Конякіна!J66</f>
        <v>0</v>
      </c>
      <c r="K66" s="131">
        <f t="shared" si="42"/>
        <v>0</v>
      </c>
      <c r="L66" s="128">
        <f>'Солар Вест'!L66+Будник!L66</f>
        <v>0</v>
      </c>
      <c r="M66" s="128">
        <f>'Солар Вест'!M66+Будник!M66</f>
        <v>0</v>
      </c>
      <c r="N66" s="132">
        <f t="shared" si="43"/>
        <v>0</v>
      </c>
      <c r="O66" s="123">
        <f>'[5]ПП ВДГ'!O66+'[5]Корсак Л.Р.'!O66+'[5]Корсак В.І.'!O66+[5]Конякіна!O66</f>
        <v>0</v>
      </c>
      <c r="P66" s="123">
        <f>'[5]ПП ВДГ'!P66+'[5]Корсак Л.Р.'!P66+'[5]Корсак В.І.'!P66+[5]Конякіна!P66</f>
        <v>0</v>
      </c>
      <c r="Q66" s="131">
        <f t="shared" si="44"/>
        <v>0</v>
      </c>
      <c r="R66" s="128">
        <f>'Солар Вест'!R66+Будник!R66</f>
        <v>0</v>
      </c>
      <c r="S66" s="128">
        <f>'Солар Вест'!S66+Будник!S66</f>
        <v>0</v>
      </c>
      <c r="T66" s="132">
        <f t="shared" si="45"/>
        <v>0</v>
      </c>
      <c r="U66" s="123">
        <f>'[5]ПП ВДГ'!U66+'[5]Корсак Л.Р.'!U66+'[5]Корсак В.І.'!U66+[5]Конякіна!U66</f>
        <v>0</v>
      </c>
      <c r="V66" s="123">
        <f>'[5]ПП ВДГ'!V66+'[5]Корсак Л.Р.'!V66+'[5]Корсак В.І.'!V66+[5]Конякіна!V66</f>
        <v>0</v>
      </c>
      <c r="W66" s="131">
        <f t="shared" si="46"/>
        <v>0</v>
      </c>
      <c r="X66" s="128">
        <f>'Солар Вест'!X66+Будник!X66</f>
        <v>0</v>
      </c>
      <c r="Y66" s="128">
        <f>'Солар Вест'!Y66+Будник!Y66</f>
        <v>0</v>
      </c>
      <c r="Z66" s="132">
        <f t="shared" si="47"/>
        <v>0</v>
      </c>
      <c r="AA66" s="123">
        <f>'[5]ПП ВДГ'!AA66+'[5]Корсак Л.Р.'!AA66+'[5]Корсак В.І.'!AA66+[5]Конякіна!AA66</f>
        <v>0</v>
      </c>
      <c r="AB66" s="123">
        <f>'[5]ПП ВДГ'!AB66+'[5]Корсак Л.Р.'!AB66+'[5]Корсак В.І.'!AB66+[5]Конякіна!AB66</f>
        <v>0</v>
      </c>
      <c r="AC66" s="131">
        <f t="shared" si="48"/>
        <v>0</v>
      </c>
      <c r="AD66" s="128">
        <f>'Солар Вест'!AD66+Будник!AD66</f>
        <v>0</v>
      </c>
      <c r="AE66" s="128">
        <f>'Солар Вест'!AE66+Будник!AE66</f>
        <v>0</v>
      </c>
      <c r="AF66" s="132">
        <f t="shared" si="49"/>
        <v>0</v>
      </c>
      <c r="AG66" s="123">
        <f>'[5]ПП ВДГ'!AG66+'[5]Корсак Л.Р.'!AG66+'[5]Корсак В.І.'!AG66+[5]Конякіна!AG66</f>
        <v>0</v>
      </c>
      <c r="AH66" s="123">
        <f>'[5]ПП ВДГ'!AH66+'[5]Корсак Л.Р.'!AH66+'[5]Корсак В.І.'!AH66+[5]Конякіна!AH66</f>
        <v>0</v>
      </c>
      <c r="AI66" s="131">
        <f t="shared" si="50"/>
        <v>0</v>
      </c>
      <c r="AJ66" s="128">
        <f>'Солар Вест'!AJ66+Будник!AJ66</f>
        <v>0</v>
      </c>
      <c r="AK66" s="128">
        <f>'Солар Вест'!AK66+Будник!AK66</f>
        <v>0</v>
      </c>
      <c r="AL66" s="132">
        <f t="shared" si="51"/>
        <v>0</v>
      </c>
      <c r="AM66" s="123">
        <f>'[5]ПП ВДГ'!AM66+'[5]Корсак Л.Р.'!AM66+'[5]Корсак В.І.'!AM66+[5]Конякіна!AM66</f>
        <v>0</v>
      </c>
      <c r="AN66" s="123">
        <f>'[5]ПП ВДГ'!AN66+'[5]Корсак Л.Р.'!AN66+'[5]Корсак В.І.'!AN66+[5]Конякіна!AN66</f>
        <v>0</v>
      </c>
      <c r="AO66" s="131">
        <f t="shared" si="52"/>
        <v>0</v>
      </c>
      <c r="AP66" s="128">
        <f>'Солар Вест'!AP66+Будник!AP66</f>
        <v>0</v>
      </c>
      <c r="AQ66" s="128">
        <f>'Солар Вест'!AQ66+Будник!AQ66</f>
        <v>0</v>
      </c>
      <c r="AR66" s="132">
        <f t="shared" si="53"/>
        <v>0</v>
      </c>
      <c r="AS66" s="123">
        <f>'[5]ПП ВДГ'!AS66+'[5]Корсак Л.Р.'!AS66+'[5]Корсак В.І.'!AS66+[5]Конякіна!AS66</f>
        <v>0</v>
      </c>
      <c r="AT66" s="123">
        <f>'[5]ПП ВДГ'!AT66+'[5]Корсак Л.Р.'!AT66+'[5]Корсак В.І.'!AT66+[5]Конякіна!AT66</f>
        <v>0</v>
      </c>
      <c r="AU66" s="131">
        <f t="shared" si="54"/>
        <v>0</v>
      </c>
      <c r="AV66" s="128">
        <f>'Солар Вест'!AV66+Будник!AV66</f>
        <v>0</v>
      </c>
      <c r="AW66" s="128">
        <f>'Солар Вест'!AW66+Будник!AW66</f>
        <v>0</v>
      </c>
      <c r="AX66" s="132">
        <f t="shared" si="55"/>
        <v>0</v>
      </c>
      <c r="AY66" s="123">
        <f>'[5]ПП ВДГ'!AY66+'[5]Корсак Л.Р.'!AY66+'[5]Корсак В.І.'!AY66+[5]Конякіна!AY66</f>
        <v>0</v>
      </c>
      <c r="AZ66" s="123">
        <f>'[5]ПП ВДГ'!AZ66+'[5]Корсак Л.Р.'!AZ66+'[5]Корсак В.І.'!AZ66+[5]Конякіна!AZ66</f>
        <v>0</v>
      </c>
      <c r="BA66" s="131">
        <f t="shared" si="56"/>
        <v>0</v>
      </c>
      <c r="BB66" s="128">
        <f>'Солар Вест'!BB66+Будник!BB66</f>
        <v>129324</v>
      </c>
      <c r="BC66" s="128">
        <f>'Солар Вест'!BC66+Будник!BC66</f>
        <v>71847</v>
      </c>
      <c r="BD66" s="132">
        <f t="shared" si="57"/>
        <v>201171</v>
      </c>
      <c r="BE66" s="128">
        <f>'Солар Вест'!BE66+Будник!BE66</f>
        <v>0</v>
      </c>
      <c r="BF66" s="128">
        <f>'Солар Вест'!BF66+Будник!BF66</f>
        <v>0</v>
      </c>
      <c r="BG66" s="131">
        <f t="shared" si="58"/>
        <v>0</v>
      </c>
      <c r="BH66" s="128">
        <f>'Солар Вест'!BH66+Будник!BH66</f>
        <v>0</v>
      </c>
      <c r="BI66" s="128">
        <f>'Солар Вест'!BI66+Будник!BI66</f>
        <v>0</v>
      </c>
      <c r="BJ66" s="132">
        <f t="shared" si="59"/>
        <v>0</v>
      </c>
      <c r="BK66" s="123">
        <f>'[5]ПП ВДГ'!BK66+'[5]Корсак Л.Р.'!BK66+'[5]Корсак В.І.'!BK66+[5]Конякіна!BK66</f>
        <v>0</v>
      </c>
      <c r="BL66" s="123">
        <f>'[5]ПП ВДГ'!BL66+'[5]Корсак Л.Р.'!BL66+'[5]Корсак В.І.'!BL66+[5]Конякіна!BL66</f>
        <v>0</v>
      </c>
      <c r="BM66" s="131">
        <f t="shared" si="60"/>
        <v>0</v>
      </c>
      <c r="BN66" s="128">
        <f>'Солар Вест'!BN66+Будник!BN66</f>
        <v>0</v>
      </c>
      <c r="BO66" s="128">
        <f>'Солар Вест'!BO66+Будник!BO66</f>
        <v>0</v>
      </c>
      <c r="BP66" s="132">
        <f t="shared" si="61"/>
        <v>0</v>
      </c>
      <c r="BQ66" s="123">
        <f>'[5]ПП ВДГ'!BQ66+'[5]Корсак Л.Р.'!BQ66+'[5]Корсак В.І.'!BQ66+[5]Конякіна!BQ66</f>
        <v>0</v>
      </c>
      <c r="BR66" s="123">
        <f>'[5]ПП ВДГ'!BR66+'[5]Корсак Л.Р.'!BR66+'[5]Корсак В.І.'!BR66+[5]Конякіна!BR66</f>
        <v>0</v>
      </c>
      <c r="BS66" s="131">
        <f t="shared" si="62"/>
        <v>0</v>
      </c>
      <c r="BT66" s="128">
        <f>'Солар Вест'!BT66+Будник!BT66</f>
        <v>0</v>
      </c>
      <c r="BU66" s="128">
        <f>'Солар Вест'!BU66+Будник!BU66</f>
        <v>0</v>
      </c>
      <c r="BV66" s="132">
        <f t="shared" si="63"/>
        <v>0</v>
      </c>
      <c r="BW66" s="123">
        <f t="shared" si="64"/>
        <v>0</v>
      </c>
      <c r="BX66" s="123">
        <f t="shared" si="64"/>
        <v>0</v>
      </c>
      <c r="BY66" s="131">
        <f t="shared" si="65"/>
        <v>0</v>
      </c>
      <c r="BZ66" s="123">
        <f t="shared" si="66"/>
        <v>129324</v>
      </c>
      <c r="CA66" s="123">
        <f t="shared" si="66"/>
        <v>71847</v>
      </c>
      <c r="CB66" s="132">
        <f t="shared" si="67"/>
        <v>201171</v>
      </c>
    </row>
    <row r="67" spans="1:116" x14ac:dyDescent="0.2">
      <c r="A67" s="121"/>
      <c r="B67" s="138" t="s">
        <v>87</v>
      </c>
      <c r="C67" s="123">
        <f>'[5]ПП ВДГ'!C67+'[5]Корсак Л.Р.'!C67+'[5]Корсак В.І.'!C67+[5]Конякіна!C67</f>
        <v>0</v>
      </c>
      <c r="D67" s="123">
        <f>'[5]ПП ВДГ'!D67+'[5]Корсак Л.Р.'!D67+'[5]Корсак В.І.'!D67+[5]Конякіна!D67</f>
        <v>0</v>
      </c>
      <c r="E67" s="139">
        <f t="shared" si="40"/>
        <v>0</v>
      </c>
      <c r="F67" s="126">
        <f>'Солар Вест'!F67+Будник!F67</f>
        <v>0</v>
      </c>
      <c r="G67" s="126">
        <f>'Солар Вест'!G67+Будник!G67</f>
        <v>0</v>
      </c>
      <c r="H67" s="140">
        <f t="shared" si="41"/>
        <v>0</v>
      </c>
      <c r="I67" s="123">
        <f>'[5]ПП ВДГ'!I67+'[5]Корсак Л.Р.'!I67+'[5]Корсак В.І.'!I67+[5]Конякіна!I67</f>
        <v>0</v>
      </c>
      <c r="J67" s="123">
        <f>'[5]ПП ВДГ'!J67+'[5]Корсак Л.Р.'!J67+'[5]Корсак В.І.'!J67+[5]Конякіна!J67</f>
        <v>0</v>
      </c>
      <c r="K67" s="139">
        <f t="shared" si="42"/>
        <v>0</v>
      </c>
      <c r="L67" s="126">
        <f>'Солар Вест'!L67+Будник!L67</f>
        <v>0</v>
      </c>
      <c r="M67" s="126">
        <f>'Солар Вест'!M67+Будник!M67</f>
        <v>0</v>
      </c>
      <c r="N67" s="140">
        <f t="shared" si="43"/>
        <v>0</v>
      </c>
      <c r="O67" s="123">
        <f>'[5]ПП ВДГ'!O67+'[5]Корсак Л.Р.'!O67+'[5]Корсак В.І.'!O67+[5]Конякіна!O67</f>
        <v>0</v>
      </c>
      <c r="P67" s="123">
        <f>'[5]ПП ВДГ'!P67+'[5]Корсак Л.Р.'!P67+'[5]Корсак В.І.'!P67+[5]Конякіна!P67</f>
        <v>0</v>
      </c>
      <c r="Q67" s="139">
        <f t="shared" si="44"/>
        <v>0</v>
      </c>
      <c r="R67" s="126">
        <f>'Солар Вест'!R67+Будник!R67</f>
        <v>0</v>
      </c>
      <c r="S67" s="126">
        <f>'Солар Вест'!S67+Будник!S67</f>
        <v>0</v>
      </c>
      <c r="T67" s="140">
        <f t="shared" si="45"/>
        <v>0</v>
      </c>
      <c r="U67" s="123">
        <f>'[5]ПП ВДГ'!U67+'[5]Корсак Л.Р.'!U67+'[5]Корсак В.І.'!U67+[5]Конякіна!U67</f>
        <v>0</v>
      </c>
      <c r="V67" s="123">
        <f>'[5]ПП ВДГ'!V67+'[5]Корсак Л.Р.'!V67+'[5]Корсак В.І.'!V67+[5]Конякіна!V67</f>
        <v>0</v>
      </c>
      <c r="W67" s="139">
        <f t="shared" si="46"/>
        <v>0</v>
      </c>
      <c r="X67" s="126">
        <f>'Солар Вест'!X67+Будник!X67</f>
        <v>0</v>
      </c>
      <c r="Y67" s="126">
        <f>'Солар Вест'!Y67+Будник!Y67</f>
        <v>0</v>
      </c>
      <c r="Z67" s="140">
        <f t="shared" si="47"/>
        <v>0</v>
      </c>
      <c r="AA67" s="123">
        <f>'[5]ПП ВДГ'!AA67+'[5]Корсак Л.Р.'!AA67+'[5]Корсак В.І.'!AA67+[5]Конякіна!AA67</f>
        <v>0</v>
      </c>
      <c r="AB67" s="123">
        <f>'[5]ПП ВДГ'!AB67+'[5]Корсак Л.Р.'!AB67+'[5]Корсак В.І.'!AB67+[5]Конякіна!AB67</f>
        <v>0</v>
      </c>
      <c r="AC67" s="139">
        <f t="shared" si="48"/>
        <v>0</v>
      </c>
      <c r="AD67" s="126">
        <f>'Солар Вест'!AD67+Будник!AD67</f>
        <v>0</v>
      </c>
      <c r="AE67" s="126">
        <f>'Солар Вест'!AE67+Будник!AE67</f>
        <v>0</v>
      </c>
      <c r="AF67" s="140">
        <f t="shared" si="49"/>
        <v>0</v>
      </c>
      <c r="AG67" s="123">
        <f>'[5]ПП ВДГ'!AG67+'[5]Корсак Л.Р.'!AG67+'[5]Корсак В.І.'!AG67+[5]Конякіна!AG67</f>
        <v>0</v>
      </c>
      <c r="AH67" s="123">
        <f>'[5]ПП ВДГ'!AH67+'[5]Корсак Л.Р.'!AH67+'[5]Корсак В.І.'!AH67+[5]Конякіна!AH67</f>
        <v>0</v>
      </c>
      <c r="AI67" s="139">
        <f t="shared" si="50"/>
        <v>0</v>
      </c>
      <c r="AJ67" s="126">
        <f>'Солар Вест'!AJ67+Будник!AJ67</f>
        <v>0</v>
      </c>
      <c r="AK67" s="126">
        <f>'Солар Вест'!AK67+Будник!AK67</f>
        <v>0</v>
      </c>
      <c r="AL67" s="140">
        <f t="shared" si="51"/>
        <v>0</v>
      </c>
      <c r="AM67" s="123">
        <f>'[5]ПП ВДГ'!AM67+'[5]Корсак Л.Р.'!AM67+'[5]Корсак В.І.'!AM67+[5]Конякіна!AM67</f>
        <v>0</v>
      </c>
      <c r="AN67" s="123">
        <f>'[5]ПП ВДГ'!AN67+'[5]Корсак Л.Р.'!AN67+'[5]Корсак В.І.'!AN67+[5]Конякіна!AN67</f>
        <v>0</v>
      </c>
      <c r="AO67" s="139">
        <f t="shared" si="52"/>
        <v>0</v>
      </c>
      <c r="AP67" s="126">
        <f>'Солар Вест'!AP67+Будник!AP67</f>
        <v>0</v>
      </c>
      <c r="AQ67" s="126">
        <f>'Солар Вест'!AQ67+Будник!AQ67</f>
        <v>0</v>
      </c>
      <c r="AR67" s="140">
        <f t="shared" si="53"/>
        <v>0</v>
      </c>
      <c r="AS67" s="123">
        <f>'[5]ПП ВДГ'!AS67+'[5]Корсак Л.Р.'!AS67+'[5]Корсак В.І.'!AS67+[5]Конякіна!AS67</f>
        <v>0</v>
      </c>
      <c r="AT67" s="123">
        <f>'[5]ПП ВДГ'!AT67+'[5]Корсак Л.Р.'!AT67+'[5]Корсак В.І.'!AT67+[5]Конякіна!AT67</f>
        <v>0</v>
      </c>
      <c r="AU67" s="139">
        <f t="shared" si="54"/>
        <v>0</v>
      </c>
      <c r="AV67" s="126">
        <f>'Солар Вест'!AV67+Будник!AV67</f>
        <v>0</v>
      </c>
      <c r="AW67" s="126">
        <f>'Солар Вест'!AW67+Будник!AW67</f>
        <v>0</v>
      </c>
      <c r="AX67" s="140">
        <f t="shared" si="55"/>
        <v>0</v>
      </c>
      <c r="AY67" s="123">
        <f>'[5]ПП ВДГ'!AY67+'[5]Корсак Л.Р.'!AY67+'[5]Корсак В.І.'!AY67+[5]Конякіна!AY67</f>
        <v>0</v>
      </c>
      <c r="AZ67" s="123">
        <f>'[5]ПП ВДГ'!AZ67+'[5]Корсак Л.Р.'!AZ67+'[5]Корсак В.І.'!AZ67+[5]Конякіна!AZ67</f>
        <v>0</v>
      </c>
      <c r="BA67" s="139">
        <f t="shared" si="56"/>
        <v>0</v>
      </c>
      <c r="BB67" s="126">
        <f>'Солар Вест'!BB67+Будник!BB67</f>
        <v>0</v>
      </c>
      <c r="BC67" s="126">
        <f>'Солар Вест'!BC67+Будник!BC67</f>
        <v>0</v>
      </c>
      <c r="BD67" s="140">
        <f t="shared" si="57"/>
        <v>0</v>
      </c>
      <c r="BE67" s="126">
        <f>'Солар Вест'!BE67+Будник!BE67</f>
        <v>0</v>
      </c>
      <c r="BF67" s="126">
        <f>'Солар Вест'!BF67+Будник!BF67</f>
        <v>0</v>
      </c>
      <c r="BG67" s="139">
        <f t="shared" si="58"/>
        <v>0</v>
      </c>
      <c r="BH67" s="126">
        <f>'Солар Вест'!BH67+Будник!BH67</f>
        <v>0</v>
      </c>
      <c r="BI67" s="126">
        <f>'Солар Вест'!BI67+Будник!BI67</f>
        <v>0</v>
      </c>
      <c r="BJ67" s="140">
        <f t="shared" si="59"/>
        <v>0</v>
      </c>
      <c r="BK67" s="123">
        <f>'[5]ПП ВДГ'!BK67+'[5]Корсак Л.Р.'!BK67+'[5]Корсак В.І.'!BK67+[5]Конякіна!BK67</f>
        <v>0</v>
      </c>
      <c r="BL67" s="123">
        <f>'[5]ПП ВДГ'!BL67+'[5]Корсак Л.Р.'!BL67+'[5]Корсак В.І.'!BL67+[5]Конякіна!BL67</f>
        <v>0</v>
      </c>
      <c r="BM67" s="139">
        <f t="shared" si="60"/>
        <v>0</v>
      </c>
      <c r="BN67" s="126">
        <f>'Солар Вест'!BN67+Будник!BN67</f>
        <v>0</v>
      </c>
      <c r="BO67" s="126">
        <f>'Солар Вест'!BO67+Будник!BO67</f>
        <v>0</v>
      </c>
      <c r="BP67" s="140">
        <f t="shared" si="61"/>
        <v>0</v>
      </c>
      <c r="BQ67" s="123">
        <f>'[5]ПП ВДГ'!BQ67+'[5]Корсак Л.Р.'!BQ67+'[5]Корсак В.І.'!BQ67+[5]Конякіна!BQ67</f>
        <v>0</v>
      </c>
      <c r="BR67" s="123">
        <f>'[5]ПП ВДГ'!BR67+'[5]Корсак Л.Р.'!BR67+'[5]Корсак В.І.'!BR67+[5]Конякіна!BR67</f>
        <v>0</v>
      </c>
      <c r="BS67" s="139">
        <f t="shared" si="62"/>
        <v>0</v>
      </c>
      <c r="BT67" s="126">
        <f>'Солар Вест'!BT67+Будник!BT67</f>
        <v>0</v>
      </c>
      <c r="BU67" s="126">
        <f>'Солар Вест'!BU67+Будник!BU67</f>
        <v>0</v>
      </c>
      <c r="BV67" s="140">
        <f t="shared" si="63"/>
        <v>0</v>
      </c>
      <c r="BW67" s="123">
        <f t="shared" si="64"/>
        <v>0</v>
      </c>
      <c r="BX67" s="123">
        <f t="shared" si="64"/>
        <v>0</v>
      </c>
      <c r="BY67" s="139">
        <f t="shared" si="65"/>
        <v>0</v>
      </c>
      <c r="BZ67" s="123">
        <f t="shared" si="66"/>
        <v>0</v>
      </c>
      <c r="CA67" s="123">
        <f t="shared" si="66"/>
        <v>0</v>
      </c>
      <c r="CB67" s="140">
        <f t="shared" si="67"/>
        <v>0</v>
      </c>
    </row>
    <row r="68" spans="1:116" x14ac:dyDescent="0.2">
      <c r="A68" s="121">
        <v>331</v>
      </c>
      <c r="B68" s="130" t="s">
        <v>88</v>
      </c>
      <c r="C68" s="123">
        <f>'[5]ПП ВДГ'!C68+'[5]Корсак Л.Р.'!C68+'[5]Корсак В.І.'!C68+[5]Конякіна!C68</f>
        <v>0</v>
      </c>
      <c r="D68" s="123">
        <f>'[5]ПП ВДГ'!D68+'[5]Корсак Л.Р.'!D68+'[5]Корсак В.І.'!D68+[5]Конякіна!D68</f>
        <v>0</v>
      </c>
      <c r="E68" s="131">
        <f t="shared" si="40"/>
        <v>0</v>
      </c>
      <c r="F68" s="128">
        <f>'Солар Вест'!F68+Будник!F68</f>
        <v>0</v>
      </c>
      <c r="G68" s="128">
        <f>'Солар Вест'!G68+Будник!G68</f>
        <v>0</v>
      </c>
      <c r="H68" s="132">
        <f t="shared" si="41"/>
        <v>0</v>
      </c>
      <c r="I68" s="123">
        <f>'[5]ПП ВДГ'!I68+'[5]Корсак Л.Р.'!I68+'[5]Корсак В.І.'!I68+[5]Конякіна!I68</f>
        <v>0</v>
      </c>
      <c r="J68" s="123">
        <f>'[5]ПП ВДГ'!J68+'[5]Корсак Л.Р.'!J68+'[5]Корсак В.І.'!J68+[5]Конякіна!J68</f>
        <v>0</v>
      </c>
      <c r="K68" s="131">
        <f t="shared" si="42"/>
        <v>0</v>
      </c>
      <c r="L68" s="128">
        <f>'Солар Вест'!L68+Будник!L68</f>
        <v>0</v>
      </c>
      <c r="M68" s="128">
        <f>'Солар Вест'!M68+Будник!M68</f>
        <v>0</v>
      </c>
      <c r="N68" s="132">
        <f t="shared" si="43"/>
        <v>0</v>
      </c>
      <c r="O68" s="123">
        <f>'[5]ПП ВДГ'!O68+'[5]Корсак Л.Р.'!O68+'[5]Корсак В.І.'!O68+[5]Конякіна!O68</f>
        <v>0</v>
      </c>
      <c r="P68" s="123">
        <f>'[5]ПП ВДГ'!P68+'[5]Корсак Л.Р.'!P68+'[5]Корсак В.І.'!P68+[5]Конякіна!P68</f>
        <v>0</v>
      </c>
      <c r="Q68" s="131">
        <f t="shared" si="44"/>
        <v>0</v>
      </c>
      <c r="R68" s="128">
        <f>'Солар Вест'!R68+Будник!R68</f>
        <v>0</v>
      </c>
      <c r="S68" s="128">
        <f>'Солар Вест'!S68+Будник!S68</f>
        <v>0</v>
      </c>
      <c r="T68" s="132">
        <f t="shared" si="45"/>
        <v>0</v>
      </c>
      <c r="U68" s="123">
        <f>'[5]ПП ВДГ'!U68+'[5]Корсак Л.Р.'!U68+'[5]Корсак В.І.'!U68+[5]Конякіна!U68</f>
        <v>0</v>
      </c>
      <c r="V68" s="123">
        <f>'[5]ПП ВДГ'!V68+'[5]Корсак Л.Р.'!V68+'[5]Корсак В.І.'!V68+[5]Конякіна!V68</f>
        <v>0</v>
      </c>
      <c r="W68" s="131">
        <f t="shared" si="46"/>
        <v>0</v>
      </c>
      <c r="X68" s="128">
        <f>'Солар Вест'!X68+Будник!X68</f>
        <v>0</v>
      </c>
      <c r="Y68" s="128">
        <f>'Солар Вест'!Y68+Будник!Y68</f>
        <v>0</v>
      </c>
      <c r="Z68" s="132">
        <f t="shared" si="47"/>
        <v>0</v>
      </c>
      <c r="AA68" s="123">
        <f>'[5]ПП ВДГ'!AA68+'[5]Корсак Л.Р.'!AA68+'[5]Корсак В.І.'!AA68+[5]Конякіна!AA68</f>
        <v>0</v>
      </c>
      <c r="AB68" s="123">
        <f>'[5]ПП ВДГ'!AB68+'[5]Корсак Л.Р.'!AB68+'[5]Корсак В.І.'!AB68+[5]Конякіна!AB68</f>
        <v>0</v>
      </c>
      <c r="AC68" s="131">
        <f t="shared" si="48"/>
        <v>0</v>
      </c>
      <c r="AD68" s="128">
        <f>'Солар Вест'!AD68+Будник!AD68</f>
        <v>0</v>
      </c>
      <c r="AE68" s="128">
        <f>'Солар Вест'!AE68+Будник!AE68</f>
        <v>0</v>
      </c>
      <c r="AF68" s="132">
        <f t="shared" si="49"/>
        <v>0</v>
      </c>
      <c r="AG68" s="123">
        <f>'[5]ПП ВДГ'!AG68+'[5]Корсак Л.Р.'!AG68+'[5]Корсак В.І.'!AG68+[5]Конякіна!AG68</f>
        <v>0</v>
      </c>
      <c r="AH68" s="123">
        <f>'[5]ПП ВДГ'!AH68+'[5]Корсак Л.Р.'!AH68+'[5]Корсак В.І.'!AH68+[5]Конякіна!AH68</f>
        <v>0</v>
      </c>
      <c r="AI68" s="131">
        <f t="shared" si="50"/>
        <v>0</v>
      </c>
      <c r="AJ68" s="128">
        <f>'Солар Вест'!AJ68+Будник!AJ68</f>
        <v>0</v>
      </c>
      <c r="AK68" s="128">
        <f>'Солар Вест'!AK68+Будник!AK68</f>
        <v>0</v>
      </c>
      <c r="AL68" s="132">
        <f t="shared" si="51"/>
        <v>0</v>
      </c>
      <c r="AM68" s="123">
        <f>'[5]ПП ВДГ'!AM68+'[5]Корсак Л.Р.'!AM68+'[5]Корсак В.І.'!AM68+[5]Конякіна!AM68</f>
        <v>0</v>
      </c>
      <c r="AN68" s="123">
        <f>'[5]ПП ВДГ'!AN68+'[5]Корсак Л.Р.'!AN68+'[5]Корсак В.І.'!AN68+[5]Конякіна!AN68</f>
        <v>0</v>
      </c>
      <c r="AO68" s="131">
        <f t="shared" si="52"/>
        <v>0</v>
      </c>
      <c r="AP68" s="128">
        <f>'Солар Вест'!AP68+Будник!AP68</f>
        <v>0</v>
      </c>
      <c r="AQ68" s="128">
        <f>'Солар Вест'!AQ68+Будник!AQ68</f>
        <v>0</v>
      </c>
      <c r="AR68" s="132">
        <f t="shared" si="53"/>
        <v>0</v>
      </c>
      <c r="AS68" s="123">
        <f>'[5]ПП ВДГ'!AS68+'[5]Корсак Л.Р.'!AS68+'[5]Корсак В.І.'!AS68+[5]Конякіна!AS68</f>
        <v>0</v>
      </c>
      <c r="AT68" s="123">
        <f>'[5]ПП ВДГ'!AT68+'[5]Корсак Л.Р.'!AT68+'[5]Корсак В.І.'!AT68+[5]Конякіна!AT68</f>
        <v>0</v>
      </c>
      <c r="AU68" s="131">
        <f t="shared" si="54"/>
        <v>0</v>
      </c>
      <c r="AV68" s="128">
        <f>'Солар Вест'!AV68+Будник!AV68</f>
        <v>0</v>
      </c>
      <c r="AW68" s="128">
        <f>'Солар Вест'!AW68+Будник!AW68</f>
        <v>0</v>
      </c>
      <c r="AX68" s="132">
        <f t="shared" si="55"/>
        <v>0</v>
      </c>
      <c r="AY68" s="123">
        <f>'[5]ПП ВДГ'!AY68+'[5]Корсак Л.Р.'!AY68+'[5]Корсак В.І.'!AY68+[5]Конякіна!AY68</f>
        <v>0</v>
      </c>
      <c r="AZ68" s="123">
        <f>'[5]ПП ВДГ'!AZ68+'[5]Корсак Л.Р.'!AZ68+'[5]Корсак В.І.'!AZ68+[5]Конякіна!AZ68</f>
        <v>0</v>
      </c>
      <c r="BA68" s="131">
        <f t="shared" si="56"/>
        <v>0</v>
      </c>
      <c r="BB68" s="128">
        <f>'Солар Вест'!BB68+Будник!BB68</f>
        <v>0</v>
      </c>
      <c r="BC68" s="128">
        <f>'Солар Вест'!BC68+Будник!BC68</f>
        <v>0</v>
      </c>
      <c r="BD68" s="132">
        <f t="shared" si="57"/>
        <v>0</v>
      </c>
      <c r="BE68" s="128">
        <f>'Солар Вест'!BE68+Будник!BE68</f>
        <v>0</v>
      </c>
      <c r="BF68" s="128">
        <f>'Солар Вест'!BF68+Будник!BF68</f>
        <v>35410</v>
      </c>
      <c r="BG68" s="131">
        <f t="shared" si="58"/>
        <v>35410</v>
      </c>
      <c r="BH68" s="128">
        <f>'Солар Вест'!BH68+Будник!BH68</f>
        <v>0</v>
      </c>
      <c r="BI68" s="128">
        <f>'Солар Вест'!BI68+Будник!BI68</f>
        <v>0</v>
      </c>
      <c r="BJ68" s="132">
        <f t="shared" si="59"/>
        <v>0</v>
      </c>
      <c r="BK68" s="123">
        <f>'[5]ПП ВДГ'!BK68+'[5]Корсак Л.Р.'!BK68+'[5]Корсак В.І.'!BK68+[5]Конякіна!BK68</f>
        <v>0</v>
      </c>
      <c r="BL68" s="123">
        <f>'[5]ПП ВДГ'!BL68+'[5]Корсак Л.Р.'!BL68+'[5]Корсак В.І.'!BL68+[5]Конякіна!BL68</f>
        <v>0</v>
      </c>
      <c r="BM68" s="131">
        <f t="shared" si="60"/>
        <v>0</v>
      </c>
      <c r="BN68" s="128">
        <f>'Солар Вест'!BN68+Будник!BN68</f>
        <v>0</v>
      </c>
      <c r="BO68" s="128">
        <f>'Солар Вест'!BO68+Будник!BO68</f>
        <v>0</v>
      </c>
      <c r="BP68" s="132">
        <f t="shared" si="61"/>
        <v>0</v>
      </c>
      <c r="BQ68" s="123">
        <f>'[5]ПП ВДГ'!BQ68+'[5]Корсак Л.Р.'!BQ68+'[5]Корсак В.І.'!BQ68+[5]Конякіна!BQ68</f>
        <v>0</v>
      </c>
      <c r="BR68" s="123">
        <f>'[5]ПП ВДГ'!BR68+'[5]Корсак Л.Р.'!BR68+'[5]Корсак В.І.'!BR68+[5]Конякіна!BR68</f>
        <v>0</v>
      </c>
      <c r="BS68" s="131">
        <f t="shared" si="62"/>
        <v>0</v>
      </c>
      <c r="BT68" s="128">
        <f>'Солар Вест'!BT68+Будник!BT68</f>
        <v>0</v>
      </c>
      <c r="BU68" s="128">
        <f>'Солар Вест'!BU68+Будник!BU68</f>
        <v>0</v>
      </c>
      <c r="BV68" s="132">
        <f t="shared" si="63"/>
        <v>0</v>
      </c>
      <c r="BW68" s="123">
        <f t="shared" si="64"/>
        <v>0</v>
      </c>
      <c r="BX68" s="123">
        <f t="shared" si="64"/>
        <v>35410</v>
      </c>
      <c r="BY68" s="131">
        <f t="shared" si="65"/>
        <v>35410</v>
      </c>
      <c r="BZ68" s="123">
        <f t="shared" si="66"/>
        <v>0</v>
      </c>
      <c r="CA68" s="123">
        <f t="shared" si="66"/>
        <v>0</v>
      </c>
      <c r="CB68" s="132">
        <f t="shared" si="67"/>
        <v>0</v>
      </c>
    </row>
    <row r="69" spans="1:116" x14ac:dyDescent="0.2">
      <c r="A69" s="121">
        <v>332</v>
      </c>
      <c r="B69" s="130" t="s">
        <v>89</v>
      </c>
      <c r="C69" s="123">
        <f>'[5]ПП ВДГ'!C69+'[5]Корсак Л.Р.'!C69+'[5]Корсак В.І.'!C69+[5]Конякіна!C69</f>
        <v>15000</v>
      </c>
      <c r="D69" s="123">
        <f>'[5]ПП ВДГ'!D69+'[5]Корсак Л.Р.'!D69+'[5]Корсак В.І.'!D69+[5]Конякіна!D69</f>
        <v>162395</v>
      </c>
      <c r="E69" s="131">
        <f t="shared" si="40"/>
        <v>177395</v>
      </c>
      <c r="F69" s="128">
        <f>'Солар Вест'!F69+Будник!F69</f>
        <v>0</v>
      </c>
      <c r="G69" s="128">
        <f>'Солар Вест'!G69+Будник!G69</f>
        <v>0</v>
      </c>
      <c r="H69" s="132">
        <f t="shared" si="41"/>
        <v>0</v>
      </c>
      <c r="I69" s="123">
        <f>'[5]ПП ВДГ'!I69+'[5]Корсак Л.Р.'!I69+'[5]Корсак В.І.'!I69+[5]Конякіна!I69</f>
        <v>15000</v>
      </c>
      <c r="J69" s="123">
        <f>'[5]ПП ВДГ'!J69+'[5]Корсак Л.Р.'!J69+'[5]Корсак В.І.'!J69+[5]Конякіна!J69</f>
        <v>167395</v>
      </c>
      <c r="K69" s="131">
        <f t="shared" si="42"/>
        <v>182395</v>
      </c>
      <c r="L69" s="128">
        <f>'Солар Вест'!L69+Будник!L69</f>
        <v>6417971.04</v>
      </c>
      <c r="M69" s="128">
        <f>'Солар Вест'!M69+Будник!M69</f>
        <v>0</v>
      </c>
      <c r="N69" s="132">
        <f t="shared" si="43"/>
        <v>6417971.04</v>
      </c>
      <c r="O69" s="123">
        <f>'[5]ПП ВДГ'!O69+'[5]Корсак Л.Р.'!O69+'[5]Корсак В.І.'!O69+[5]Конякіна!O69</f>
        <v>15000</v>
      </c>
      <c r="P69" s="123">
        <f>'[5]ПП ВДГ'!P69+'[5]Корсак Л.Р.'!P69+'[5]Корсак В.І.'!P69+[5]Конякіна!P69</f>
        <v>167395</v>
      </c>
      <c r="Q69" s="131">
        <f t="shared" si="44"/>
        <v>182395</v>
      </c>
      <c r="R69" s="128">
        <f>'Солар Вест'!R69+Будник!R69</f>
        <v>348840</v>
      </c>
      <c r="S69" s="128">
        <f>'Солар Вест'!S69+Будник!S69</f>
        <v>0</v>
      </c>
      <c r="T69" s="132">
        <f t="shared" si="45"/>
        <v>348840</v>
      </c>
      <c r="U69" s="123">
        <f>'[5]ПП ВДГ'!U69+'[5]Корсак Л.Р.'!U69+'[5]Корсак В.І.'!U69+[5]Конякіна!U69</f>
        <v>120000</v>
      </c>
      <c r="V69" s="123">
        <f>'[5]ПП ВДГ'!V69+'[5]Корсак Л.Р.'!V69+'[5]Корсак В.І.'!V69+[5]Конякіна!V69</f>
        <v>55741</v>
      </c>
      <c r="W69" s="131">
        <f t="shared" si="46"/>
        <v>175741</v>
      </c>
      <c r="X69" s="128">
        <f>'Солар Вест'!X69+Будник!X69</f>
        <v>2000</v>
      </c>
      <c r="Y69" s="128">
        <f>'Солар Вест'!Y69+Будник!Y69</f>
        <v>104952</v>
      </c>
      <c r="Z69" s="132">
        <f t="shared" si="47"/>
        <v>106952</v>
      </c>
      <c r="AA69" s="123">
        <f>'[5]ПП ВДГ'!AA69+'[5]Корсак Л.Р.'!AA69+'[5]Корсак В.І.'!AA69+[5]Конякіна!AA69</f>
        <v>15000</v>
      </c>
      <c r="AB69" s="123">
        <f>'[5]ПП ВДГ'!AB69+'[5]Корсак Л.Р.'!AB69+'[5]Корсак В.І.'!AB69+[5]Конякіна!AB69</f>
        <v>171195</v>
      </c>
      <c r="AC69" s="131">
        <f t="shared" si="48"/>
        <v>186195</v>
      </c>
      <c r="AD69" s="128">
        <f>'Солар Вест'!AD69+Будник!AD69</f>
        <v>0</v>
      </c>
      <c r="AE69" s="128">
        <f>'Солар Вест'!AE69+Будник!AE69</f>
        <v>0</v>
      </c>
      <c r="AF69" s="132">
        <f t="shared" si="49"/>
        <v>0</v>
      </c>
      <c r="AG69" s="123">
        <f>'[5]ПП ВДГ'!AG69+'[5]Корсак Л.Р.'!AG69+'[5]Корсак В.І.'!AG69+[5]Конякіна!AG69</f>
        <v>12000</v>
      </c>
      <c r="AH69" s="123">
        <f>'[5]ПП ВДГ'!AH69+'[5]Корсак Л.Р.'!AH69+'[5]Корсак В.І.'!AH69+[5]Конякіна!AH69</f>
        <v>171338</v>
      </c>
      <c r="AI69" s="131">
        <f t="shared" si="50"/>
        <v>183338</v>
      </c>
      <c r="AJ69" s="128">
        <f>'Солар Вест'!AJ69+Будник!AJ69</f>
        <v>0</v>
      </c>
      <c r="AK69" s="128">
        <f>'Солар Вест'!AK69+Будник!AK69</f>
        <v>100000</v>
      </c>
      <c r="AL69" s="132">
        <f t="shared" si="51"/>
        <v>100000</v>
      </c>
      <c r="AM69" s="123">
        <f>'[5]ПП ВДГ'!AM69+'[5]Корсак Л.Р.'!AM69+'[5]Корсак В.І.'!AM69+[5]Конякіна!AM69</f>
        <v>11000</v>
      </c>
      <c r="AN69" s="123">
        <f>'[5]ПП ВДГ'!AN69+'[5]Корсак Л.Р.'!AN69+'[5]Корсак В.І.'!AN69+[5]Конякіна!AN69</f>
        <v>167548</v>
      </c>
      <c r="AO69" s="131">
        <f t="shared" si="52"/>
        <v>178548</v>
      </c>
      <c r="AP69" s="128">
        <f>'Солар Вест'!AP69+Будник!AP69</f>
        <v>0</v>
      </c>
      <c r="AQ69" s="128">
        <f>'Солар Вест'!AQ69+Будник!AQ69</f>
        <v>0</v>
      </c>
      <c r="AR69" s="132">
        <f t="shared" si="53"/>
        <v>0</v>
      </c>
      <c r="AS69" s="123">
        <f>'[5]ПП ВДГ'!AS69+'[5]Корсак Л.Р.'!AS69+'[5]Корсак В.І.'!AS69+[5]Конякіна!AS69</f>
        <v>15000</v>
      </c>
      <c r="AT69" s="123">
        <f>'[5]ПП ВДГ'!AT69+'[5]Корсак Л.Р.'!AT69+'[5]Корсак В.І.'!AT69+[5]Конякіна!AT69</f>
        <v>156538</v>
      </c>
      <c r="AU69" s="131">
        <f t="shared" si="54"/>
        <v>171538</v>
      </c>
      <c r="AV69" s="128">
        <f>'Солар Вест'!AV69+Будник!AV69</f>
        <v>628000</v>
      </c>
      <c r="AW69" s="128">
        <f>'Солар Вест'!AW69+Будник!AW69</f>
        <v>0</v>
      </c>
      <c r="AX69" s="132">
        <f t="shared" si="55"/>
        <v>628000</v>
      </c>
      <c r="AY69" s="123">
        <f>'[5]ПП ВДГ'!AY69+'[5]Корсак Л.Р.'!AY69+'[5]Корсак В.І.'!AY69+[5]Конякіна!AY69</f>
        <v>15000</v>
      </c>
      <c r="AZ69" s="123">
        <f>'[5]ПП ВДГ'!AZ69+'[5]Корсак Л.Р.'!AZ69+'[5]Корсак В.І.'!AZ69+[5]Конякіна!AZ69</f>
        <v>167395</v>
      </c>
      <c r="BA69" s="131">
        <f t="shared" si="56"/>
        <v>182395</v>
      </c>
      <c r="BB69" s="128">
        <f>'Солар Вест'!BB69+Будник!BB69</f>
        <v>54000</v>
      </c>
      <c r="BC69" s="128">
        <f>'Солар Вест'!BC69+Будник!BC69</f>
        <v>0</v>
      </c>
      <c r="BD69" s="132">
        <f t="shared" si="57"/>
        <v>54000</v>
      </c>
      <c r="BE69" s="128">
        <f>'Солар Вест'!BE69+Будник!BE69</f>
        <v>68500</v>
      </c>
      <c r="BF69" s="128">
        <f>'Солар Вест'!BF69+Будник!BF69</f>
        <v>0</v>
      </c>
      <c r="BG69" s="131">
        <f t="shared" si="58"/>
        <v>68500</v>
      </c>
      <c r="BH69" s="128">
        <f>'Солар Вест'!BH69+Будник!BH69</f>
        <v>0</v>
      </c>
      <c r="BI69" s="128">
        <f>'Солар Вест'!BI69+Будник!BI69</f>
        <v>0</v>
      </c>
      <c r="BJ69" s="132">
        <f t="shared" si="59"/>
        <v>0</v>
      </c>
      <c r="BK69" s="123">
        <f>'[5]ПП ВДГ'!BK69+'[5]Корсак Л.Р.'!BK69+'[5]Корсак В.І.'!BK69+[5]Конякіна!BK69</f>
        <v>15000</v>
      </c>
      <c r="BL69" s="123">
        <f>'[5]ПП ВДГ'!BL69+'[5]Корсак Л.Р.'!BL69+'[5]Корсак В.І.'!BL69+[5]Конякіна!BL69</f>
        <v>154591</v>
      </c>
      <c r="BM69" s="131">
        <f t="shared" si="60"/>
        <v>169591</v>
      </c>
      <c r="BN69" s="128">
        <f>'Солар Вест'!BN69+Будник!BN69</f>
        <v>0</v>
      </c>
      <c r="BO69" s="128">
        <f>'Солар Вест'!BO69+Будник!BO69</f>
        <v>0</v>
      </c>
      <c r="BP69" s="132">
        <f t="shared" si="61"/>
        <v>0</v>
      </c>
      <c r="BQ69" s="123">
        <f>'[5]ПП ВДГ'!BQ69+'[5]Корсак Л.Р.'!BQ69+'[5]Корсак В.І.'!BQ69+[5]Конякіна!BQ69</f>
        <v>10000</v>
      </c>
      <c r="BR69" s="123">
        <f>'[5]ПП ВДГ'!BR69+'[5]Корсак Л.Р.'!BR69+'[5]Корсак В.І.'!BR69+[5]Конякіна!BR69</f>
        <v>79679</v>
      </c>
      <c r="BS69" s="131">
        <f t="shared" si="62"/>
        <v>89679</v>
      </c>
      <c r="BT69" s="128">
        <f>'Солар Вест'!BT69+Будник!BT69</f>
        <v>0</v>
      </c>
      <c r="BU69" s="128">
        <f>'Солар Вест'!BU69+Будник!BU69</f>
        <v>0</v>
      </c>
      <c r="BV69" s="132">
        <f t="shared" si="63"/>
        <v>0</v>
      </c>
      <c r="BW69" s="123">
        <f t="shared" si="64"/>
        <v>326500</v>
      </c>
      <c r="BX69" s="123">
        <f t="shared" si="64"/>
        <v>1621210</v>
      </c>
      <c r="BY69" s="131">
        <f t="shared" si="65"/>
        <v>1947710</v>
      </c>
      <c r="BZ69" s="123">
        <f t="shared" si="66"/>
        <v>7450811.04</v>
      </c>
      <c r="CA69" s="123">
        <f t="shared" si="66"/>
        <v>204952</v>
      </c>
      <c r="CB69" s="132">
        <f t="shared" si="67"/>
        <v>7655763.04</v>
      </c>
    </row>
    <row r="70" spans="1:116" x14ac:dyDescent="0.2">
      <c r="A70" s="152"/>
      <c r="B70" s="153" t="s">
        <v>45</v>
      </c>
      <c r="C70" s="135">
        <f t="shared" ref="C70:BN70" si="68">C32+C34+C36+C38+C43+C44+C45+C46+C48+C50+C52+C53+C54+C55+C56+C57+C58+C61+C63+C65+C66+C68+C69+C35</f>
        <v>189495</v>
      </c>
      <c r="D70" s="135">
        <f t="shared" si="68"/>
        <v>214150</v>
      </c>
      <c r="E70" s="135">
        <f t="shared" si="68"/>
        <v>403645</v>
      </c>
      <c r="F70" s="135">
        <f t="shared" si="68"/>
        <v>437726.47000000003</v>
      </c>
      <c r="G70" s="135">
        <f t="shared" si="68"/>
        <v>204098</v>
      </c>
      <c r="H70" s="135">
        <f t="shared" si="68"/>
        <v>641824.47</v>
      </c>
      <c r="I70" s="135">
        <f t="shared" si="68"/>
        <v>184195</v>
      </c>
      <c r="J70" s="135">
        <f t="shared" si="68"/>
        <v>214150</v>
      </c>
      <c r="K70" s="135">
        <f t="shared" si="68"/>
        <v>398345</v>
      </c>
      <c r="L70" s="135">
        <f t="shared" si="68"/>
        <v>6983755.54</v>
      </c>
      <c r="M70" s="135">
        <f t="shared" si="68"/>
        <v>174447</v>
      </c>
      <c r="N70" s="135">
        <f t="shared" si="68"/>
        <v>7158202.54</v>
      </c>
      <c r="O70" s="135">
        <f t="shared" si="68"/>
        <v>183895</v>
      </c>
      <c r="P70" s="135">
        <f t="shared" si="68"/>
        <v>214150</v>
      </c>
      <c r="Q70" s="135">
        <f t="shared" si="68"/>
        <v>398045</v>
      </c>
      <c r="R70" s="135">
        <f t="shared" si="68"/>
        <v>4448468.3900000006</v>
      </c>
      <c r="S70" s="135">
        <f t="shared" si="68"/>
        <v>184071</v>
      </c>
      <c r="T70" s="135">
        <f t="shared" si="68"/>
        <v>4632539.3900000006</v>
      </c>
      <c r="U70" s="135">
        <f t="shared" si="68"/>
        <v>353717</v>
      </c>
      <c r="V70" s="135">
        <f t="shared" si="68"/>
        <v>114000</v>
      </c>
      <c r="W70" s="135">
        <f t="shared" si="68"/>
        <v>467717</v>
      </c>
      <c r="X70" s="135">
        <f t="shared" si="68"/>
        <v>2700147.96</v>
      </c>
      <c r="Y70" s="135">
        <f t="shared" si="68"/>
        <v>355664</v>
      </c>
      <c r="Z70" s="135">
        <f t="shared" si="68"/>
        <v>3055811.9600000004</v>
      </c>
      <c r="AA70" s="135">
        <f t="shared" si="68"/>
        <v>172791</v>
      </c>
      <c r="AB70" s="135">
        <f t="shared" si="68"/>
        <v>215200</v>
      </c>
      <c r="AC70" s="135">
        <f t="shared" si="68"/>
        <v>387991</v>
      </c>
      <c r="AD70" s="135">
        <f t="shared" si="68"/>
        <v>1180805.32</v>
      </c>
      <c r="AE70" s="135">
        <f t="shared" si="68"/>
        <v>560219</v>
      </c>
      <c r="AF70" s="135">
        <f t="shared" si="68"/>
        <v>1741024.3199999998</v>
      </c>
      <c r="AG70" s="135">
        <f t="shared" si="68"/>
        <v>178431</v>
      </c>
      <c r="AH70" s="135">
        <f t="shared" si="68"/>
        <v>215500</v>
      </c>
      <c r="AI70" s="135">
        <f t="shared" si="68"/>
        <v>393931</v>
      </c>
      <c r="AJ70" s="135">
        <f t="shared" si="68"/>
        <v>4770535.7499999991</v>
      </c>
      <c r="AK70" s="135">
        <f t="shared" si="68"/>
        <v>715628</v>
      </c>
      <c r="AL70" s="135">
        <f t="shared" si="68"/>
        <v>5486163.7499999991</v>
      </c>
      <c r="AM70" s="135">
        <f t="shared" si="68"/>
        <v>179645</v>
      </c>
      <c r="AN70" s="135">
        <f t="shared" si="68"/>
        <v>210700</v>
      </c>
      <c r="AO70" s="135">
        <f t="shared" si="68"/>
        <v>390345</v>
      </c>
      <c r="AP70" s="135">
        <f t="shared" si="68"/>
        <v>863999.73</v>
      </c>
      <c r="AQ70" s="135">
        <f t="shared" si="68"/>
        <v>501370</v>
      </c>
      <c r="AR70" s="135">
        <f t="shared" si="68"/>
        <v>1365369.7300000002</v>
      </c>
      <c r="AS70" s="135">
        <f t="shared" si="68"/>
        <v>180736</v>
      </c>
      <c r="AT70" s="135">
        <f t="shared" si="68"/>
        <v>206700</v>
      </c>
      <c r="AU70" s="135">
        <f t="shared" si="68"/>
        <v>387436</v>
      </c>
      <c r="AV70" s="135">
        <f t="shared" si="68"/>
        <v>1380139.03</v>
      </c>
      <c r="AW70" s="135">
        <f t="shared" si="68"/>
        <v>535540</v>
      </c>
      <c r="AX70" s="135">
        <f t="shared" si="68"/>
        <v>1915679.03</v>
      </c>
      <c r="AY70" s="135">
        <f t="shared" si="68"/>
        <v>174295</v>
      </c>
      <c r="AZ70" s="135">
        <f t="shared" si="68"/>
        <v>212150</v>
      </c>
      <c r="BA70" s="135">
        <f t="shared" si="68"/>
        <v>386445</v>
      </c>
      <c r="BB70" s="135">
        <f t="shared" si="68"/>
        <v>952914.09</v>
      </c>
      <c r="BC70" s="135">
        <f t="shared" si="68"/>
        <v>271813</v>
      </c>
      <c r="BD70" s="135">
        <f t="shared" si="68"/>
        <v>1224727.0899999999</v>
      </c>
      <c r="BE70" s="135">
        <f t="shared" si="68"/>
        <v>717546.72000000009</v>
      </c>
      <c r="BF70" s="135">
        <f t="shared" si="68"/>
        <v>457688</v>
      </c>
      <c r="BG70" s="135">
        <f t="shared" si="68"/>
        <v>1175234.7200000002</v>
      </c>
      <c r="BH70" s="135">
        <f t="shared" si="68"/>
        <v>0</v>
      </c>
      <c r="BI70" s="135">
        <f t="shared" si="68"/>
        <v>0</v>
      </c>
      <c r="BJ70" s="135">
        <f t="shared" si="68"/>
        <v>0</v>
      </c>
      <c r="BK70" s="135">
        <f t="shared" si="68"/>
        <v>191331</v>
      </c>
      <c r="BL70" s="135">
        <f t="shared" si="68"/>
        <v>206000</v>
      </c>
      <c r="BM70" s="135">
        <f t="shared" si="68"/>
        <v>397331</v>
      </c>
      <c r="BN70" s="135">
        <f t="shared" si="68"/>
        <v>0</v>
      </c>
      <c r="BO70" s="135">
        <f t="shared" ref="BO70:CB70" si="69">BO32+BO34+BO36+BO38+BO43+BO44+BO45+BO46+BO48+BO50+BO52+BO53+BO54+BO55+BO56+BO57+BO58+BO61+BO63+BO65+BO66+BO68+BO69+BO35</f>
        <v>0</v>
      </c>
      <c r="BP70" s="135">
        <f t="shared" si="69"/>
        <v>0</v>
      </c>
      <c r="BQ70" s="135">
        <f t="shared" si="69"/>
        <v>198829</v>
      </c>
      <c r="BR70" s="135">
        <f t="shared" si="69"/>
        <v>148000</v>
      </c>
      <c r="BS70" s="135">
        <f t="shared" si="69"/>
        <v>346829</v>
      </c>
      <c r="BT70" s="135">
        <f t="shared" si="69"/>
        <v>0</v>
      </c>
      <c r="BU70" s="135">
        <f t="shared" si="69"/>
        <v>0</v>
      </c>
      <c r="BV70" s="135">
        <f t="shared" si="69"/>
        <v>0</v>
      </c>
      <c r="BW70" s="135">
        <f t="shared" si="69"/>
        <v>2904906.72</v>
      </c>
      <c r="BX70" s="135">
        <f t="shared" si="69"/>
        <v>2628388</v>
      </c>
      <c r="BY70" s="135">
        <f t="shared" si="69"/>
        <v>5533294.7199999997</v>
      </c>
      <c r="BZ70" s="135">
        <f t="shared" si="69"/>
        <v>23718492.280000001</v>
      </c>
      <c r="CA70" s="135">
        <f t="shared" si="69"/>
        <v>3502850</v>
      </c>
      <c r="CB70" s="135">
        <f t="shared" si="69"/>
        <v>27221342.279999997</v>
      </c>
    </row>
    <row r="71" spans="1:116" x14ac:dyDescent="0.2">
      <c r="A71" s="154"/>
      <c r="B71" s="154"/>
      <c r="C71" s="155"/>
      <c r="D71" s="155"/>
      <c r="E71" s="155"/>
      <c r="F71" s="156"/>
      <c r="G71" s="156"/>
      <c r="H71" s="156"/>
      <c r="I71" s="155"/>
      <c r="J71" s="155"/>
      <c r="K71" s="155"/>
      <c r="L71" s="156"/>
      <c r="M71" s="156"/>
      <c r="N71" s="156"/>
      <c r="O71" s="155"/>
      <c r="P71" s="155"/>
      <c r="Q71" s="155"/>
      <c r="R71" s="156"/>
      <c r="S71" s="156"/>
      <c r="T71" s="156"/>
      <c r="U71" s="155"/>
      <c r="V71" s="155"/>
      <c r="W71" s="155"/>
      <c r="X71" s="156"/>
      <c r="Y71" s="156"/>
      <c r="Z71" s="156"/>
      <c r="AA71" s="155"/>
      <c r="AB71" s="155"/>
      <c r="AC71" s="155"/>
      <c r="AD71" s="156"/>
      <c r="AE71" s="156"/>
      <c r="AF71" s="156"/>
      <c r="AG71" s="155"/>
      <c r="AH71" s="155"/>
      <c r="AI71" s="155"/>
      <c r="AJ71" s="156"/>
      <c r="AK71" s="156"/>
      <c r="AL71" s="156"/>
      <c r="AM71" s="155"/>
      <c r="AN71" s="155"/>
      <c r="AO71" s="155"/>
      <c r="AP71" s="156"/>
      <c r="AQ71" s="156"/>
      <c r="AR71" s="156"/>
      <c r="AS71" s="155"/>
      <c r="AT71" s="155"/>
      <c r="AU71" s="155"/>
      <c r="AV71" s="156"/>
      <c r="AW71" s="156"/>
      <c r="AX71" s="156"/>
      <c r="AY71" s="155"/>
      <c r="AZ71" s="155"/>
      <c r="BA71" s="155"/>
      <c r="BB71" s="156"/>
      <c r="BC71" s="156"/>
      <c r="BD71" s="156"/>
      <c r="BE71" s="155"/>
      <c r="BF71" s="155"/>
      <c r="BG71" s="155"/>
      <c r="BH71" s="156"/>
      <c r="BI71" s="156"/>
      <c r="BJ71" s="156"/>
      <c r="BK71" s="155"/>
      <c r="BL71" s="155"/>
      <c r="BM71" s="155"/>
      <c r="BN71" s="156"/>
      <c r="BO71" s="156"/>
      <c r="BP71" s="156"/>
      <c r="BQ71" s="155"/>
      <c r="BR71" s="155"/>
      <c r="BS71" s="155"/>
      <c r="BT71" s="156"/>
      <c r="BU71" s="156"/>
      <c r="BV71" s="156"/>
      <c r="BW71" s="155"/>
      <c r="BX71" s="155"/>
      <c r="BY71" s="155"/>
      <c r="BZ71" s="156"/>
      <c r="CA71" s="156"/>
      <c r="CB71" s="156"/>
    </row>
    <row r="72" spans="1:116" x14ac:dyDescent="0.2">
      <c r="A72" s="133"/>
      <c r="B72" s="157" t="s">
        <v>90</v>
      </c>
      <c r="C72" s="158">
        <f t="shared" ref="C72:BN72" si="70">C8+C30-C70</f>
        <v>-14495</v>
      </c>
      <c r="D72" s="158">
        <f t="shared" si="70"/>
        <v>-150</v>
      </c>
      <c r="E72" s="158">
        <f t="shared" si="70"/>
        <v>-14645</v>
      </c>
      <c r="F72" s="111">
        <f t="shared" si="70"/>
        <v>6935.1499999997322</v>
      </c>
      <c r="G72" s="111">
        <f t="shared" si="70"/>
        <v>70184</v>
      </c>
      <c r="H72" s="111">
        <f t="shared" si="70"/>
        <v>77119.14999999979</v>
      </c>
      <c r="I72" s="158">
        <f t="shared" si="70"/>
        <v>-9195</v>
      </c>
      <c r="J72" s="158">
        <f t="shared" si="70"/>
        <v>-150</v>
      </c>
      <c r="K72" s="158">
        <f t="shared" si="70"/>
        <v>-9345</v>
      </c>
      <c r="L72" s="111">
        <f t="shared" si="70"/>
        <v>17482.209999999031</v>
      </c>
      <c r="M72" s="111">
        <f t="shared" si="70"/>
        <v>68137</v>
      </c>
      <c r="N72" s="111">
        <f t="shared" si="70"/>
        <v>85619.209999999031</v>
      </c>
      <c r="O72" s="158">
        <f t="shared" si="70"/>
        <v>7805</v>
      </c>
      <c r="P72" s="158">
        <f t="shared" si="70"/>
        <v>-150</v>
      </c>
      <c r="Q72" s="158">
        <f t="shared" si="70"/>
        <v>7655</v>
      </c>
      <c r="R72" s="111">
        <f t="shared" si="70"/>
        <v>314119.36999999825</v>
      </c>
      <c r="S72" s="111">
        <f t="shared" si="70"/>
        <v>152076</v>
      </c>
      <c r="T72" s="111">
        <f t="shared" si="70"/>
        <v>466195.36999999825</v>
      </c>
      <c r="U72" s="158">
        <f t="shared" si="70"/>
        <v>36283</v>
      </c>
      <c r="V72" s="158">
        <f t="shared" si="70"/>
        <v>0</v>
      </c>
      <c r="W72" s="158">
        <f t="shared" si="70"/>
        <v>36283</v>
      </c>
      <c r="X72" s="111">
        <f t="shared" si="70"/>
        <v>151289.84999999823</v>
      </c>
      <c r="Y72" s="111">
        <f t="shared" si="70"/>
        <v>341770</v>
      </c>
      <c r="Z72" s="111">
        <f t="shared" si="70"/>
        <v>493059.84999999776</v>
      </c>
      <c r="AA72" s="158">
        <f t="shared" si="70"/>
        <v>19009</v>
      </c>
      <c r="AB72" s="158">
        <f t="shared" si="70"/>
        <v>0</v>
      </c>
      <c r="AC72" s="158">
        <f t="shared" si="70"/>
        <v>19009</v>
      </c>
      <c r="AD72" s="111">
        <f t="shared" si="70"/>
        <v>118305.39999999828</v>
      </c>
      <c r="AE72" s="111">
        <f t="shared" si="70"/>
        <v>499081</v>
      </c>
      <c r="AF72" s="111">
        <f t="shared" si="70"/>
        <v>617386.39999999851</v>
      </c>
      <c r="AG72" s="158">
        <f t="shared" si="70"/>
        <v>15369</v>
      </c>
      <c r="AH72" s="158">
        <f t="shared" si="70"/>
        <v>0</v>
      </c>
      <c r="AI72" s="158">
        <f t="shared" si="70"/>
        <v>15369</v>
      </c>
      <c r="AJ72" s="111">
        <f t="shared" si="70"/>
        <v>203802.97999999952</v>
      </c>
      <c r="AK72" s="111">
        <f t="shared" si="70"/>
        <v>445831</v>
      </c>
      <c r="AL72" s="111">
        <f t="shared" si="70"/>
        <v>649633.97999999952</v>
      </c>
      <c r="AM72" s="158">
        <f t="shared" si="70"/>
        <v>8105</v>
      </c>
      <c r="AN72" s="158">
        <f t="shared" si="70"/>
        <v>0</v>
      </c>
      <c r="AO72" s="158">
        <f t="shared" si="70"/>
        <v>8105</v>
      </c>
      <c r="AP72" s="111">
        <f t="shared" si="70"/>
        <v>586048.83999999939</v>
      </c>
      <c r="AQ72" s="111">
        <f t="shared" si="70"/>
        <v>175836</v>
      </c>
      <c r="AR72" s="111">
        <f t="shared" si="70"/>
        <v>761884.83999999915</v>
      </c>
      <c r="AS72" s="158">
        <f t="shared" si="70"/>
        <v>11064</v>
      </c>
      <c r="AT72" s="158">
        <f t="shared" si="70"/>
        <v>0</v>
      </c>
      <c r="AU72" s="158">
        <f t="shared" si="70"/>
        <v>11064</v>
      </c>
      <c r="AV72" s="111">
        <f t="shared" si="70"/>
        <v>68141.509999999311</v>
      </c>
      <c r="AW72" s="111">
        <f t="shared" si="70"/>
        <v>47388</v>
      </c>
      <c r="AX72" s="111">
        <f t="shared" si="70"/>
        <v>115529.50999999931</v>
      </c>
      <c r="AY72" s="158">
        <f t="shared" si="70"/>
        <v>17405</v>
      </c>
      <c r="AZ72" s="158">
        <f t="shared" si="70"/>
        <v>-150</v>
      </c>
      <c r="BA72" s="158">
        <f t="shared" si="70"/>
        <v>17255</v>
      </c>
      <c r="BB72" s="111">
        <f t="shared" si="70"/>
        <v>548793.91999999934</v>
      </c>
      <c r="BC72" s="111">
        <f t="shared" si="70"/>
        <v>61285</v>
      </c>
      <c r="BD72" s="111">
        <f t="shared" si="70"/>
        <v>610078.91999999946</v>
      </c>
      <c r="BE72" s="158">
        <f t="shared" si="70"/>
        <v>-65479.300000000047</v>
      </c>
      <c r="BF72" s="158">
        <f t="shared" si="70"/>
        <v>-39775</v>
      </c>
      <c r="BG72" s="158">
        <f t="shared" si="70"/>
        <v>-105254.30000000028</v>
      </c>
      <c r="BH72" s="111">
        <f t="shared" si="70"/>
        <v>548793.91999999934</v>
      </c>
      <c r="BI72" s="111">
        <f t="shared" si="70"/>
        <v>61285</v>
      </c>
      <c r="BJ72" s="111">
        <f t="shared" si="70"/>
        <v>610078.91999999934</v>
      </c>
      <c r="BK72" s="158">
        <f t="shared" si="70"/>
        <v>519</v>
      </c>
      <c r="BL72" s="158">
        <f t="shared" si="70"/>
        <v>0</v>
      </c>
      <c r="BM72" s="158">
        <f t="shared" si="70"/>
        <v>519</v>
      </c>
      <c r="BN72" s="111">
        <f t="shared" si="70"/>
        <v>548793.91999999934</v>
      </c>
      <c r="BO72" s="111">
        <f t="shared" ref="BO72:CB72" si="71">BO8+BO30-BO70</f>
        <v>61285</v>
      </c>
      <c r="BP72" s="111">
        <f t="shared" si="71"/>
        <v>610078.91999999934</v>
      </c>
      <c r="BQ72" s="158">
        <f t="shared" si="71"/>
        <v>48071</v>
      </c>
      <c r="BR72" s="158">
        <f t="shared" si="71"/>
        <v>0</v>
      </c>
      <c r="BS72" s="158">
        <f t="shared" si="71"/>
        <v>48071</v>
      </c>
      <c r="BT72" s="111">
        <f t="shared" si="71"/>
        <v>548793.91999999934</v>
      </c>
      <c r="BU72" s="111">
        <f t="shared" si="71"/>
        <v>61285</v>
      </c>
      <c r="BV72" s="111">
        <f t="shared" si="71"/>
        <v>610078.91999999934</v>
      </c>
      <c r="BW72" s="158">
        <f t="shared" si="71"/>
        <v>74460.699999999721</v>
      </c>
      <c r="BX72" s="158">
        <f t="shared" si="71"/>
        <v>-40375</v>
      </c>
      <c r="BY72" s="158">
        <f t="shared" si="71"/>
        <v>34085.700000000186</v>
      </c>
      <c r="BZ72" s="111">
        <f t="shared" si="71"/>
        <v>1070717.3199999966</v>
      </c>
      <c r="CA72" s="111">
        <f t="shared" si="71"/>
        <v>80498</v>
      </c>
      <c r="CB72" s="111">
        <f t="shared" si="71"/>
        <v>1151215.3199999966</v>
      </c>
    </row>
    <row r="73" spans="1:116" x14ac:dyDescent="0.2">
      <c r="A73" s="109"/>
      <c r="B73" s="159"/>
      <c r="C73" s="160"/>
      <c r="D73" s="160"/>
      <c r="E73" s="160"/>
      <c r="F73" s="161"/>
      <c r="G73" s="161"/>
      <c r="H73" s="161"/>
    </row>
    <row r="74" spans="1:116" s="166" customFormat="1" x14ac:dyDescent="0.2">
      <c r="A74" s="162"/>
      <c r="B74" s="163"/>
      <c r="C74" s="164"/>
      <c r="D74" s="164"/>
      <c r="E74" s="164"/>
      <c r="F74" s="164"/>
      <c r="G74" s="164"/>
      <c r="H74" s="165"/>
      <c r="I74" s="164"/>
      <c r="J74" s="164"/>
      <c r="K74" s="164"/>
      <c r="L74" s="164"/>
      <c r="M74" s="164"/>
      <c r="N74" s="165"/>
      <c r="O74" s="164"/>
      <c r="P74" s="164"/>
      <c r="Q74" s="164"/>
      <c r="R74" s="164"/>
      <c r="S74" s="164"/>
      <c r="T74" s="165"/>
      <c r="U74" s="164"/>
      <c r="V74" s="164"/>
      <c r="W74" s="164"/>
      <c r="X74" s="164"/>
      <c r="Y74" s="164"/>
      <c r="Z74" s="165"/>
      <c r="AA74" s="164"/>
      <c r="AB74" s="164"/>
      <c r="AC74" s="164"/>
      <c r="AD74" s="164"/>
      <c r="AE74" s="164"/>
      <c r="AF74" s="165"/>
      <c r="AG74" s="164"/>
      <c r="AH74" s="164"/>
      <c r="AI74" s="164"/>
      <c r="AJ74" s="164"/>
      <c r="AK74" s="164"/>
      <c r="AL74" s="165"/>
      <c r="AM74" s="164"/>
      <c r="AN74" s="164"/>
      <c r="AO74" s="164"/>
      <c r="AP74" s="164"/>
      <c r="AQ74" s="164"/>
      <c r="AR74" s="165"/>
      <c r="AS74" s="164"/>
      <c r="AT74" s="164"/>
      <c r="AU74" s="164"/>
      <c r="AV74" s="164"/>
      <c r="AW74" s="164"/>
      <c r="AX74" s="165"/>
      <c r="AY74" s="164"/>
      <c r="AZ74" s="164"/>
      <c r="BA74" s="164"/>
      <c r="BB74" s="164"/>
      <c r="BC74" s="164"/>
      <c r="BD74" s="165"/>
      <c r="BE74" s="164"/>
      <c r="BF74" s="164"/>
      <c r="BG74" s="164"/>
      <c r="BH74" s="164"/>
      <c r="BI74" s="164"/>
      <c r="BJ74" s="165"/>
      <c r="BK74" s="164"/>
      <c r="BL74" s="164"/>
      <c r="BM74" s="164"/>
      <c r="BN74" s="164"/>
      <c r="BO74" s="164"/>
      <c r="BP74" s="165"/>
      <c r="BQ74" s="164"/>
      <c r="BR74" s="164"/>
      <c r="BS74" s="164"/>
      <c r="BT74" s="164"/>
      <c r="BU74" s="164"/>
      <c r="BV74" s="165"/>
      <c r="BW74" s="164"/>
      <c r="BX74" s="164"/>
      <c r="BY74" s="164"/>
      <c r="BZ74" s="164"/>
      <c r="CA74" s="164"/>
      <c r="CB74" s="165"/>
      <c r="CC74" s="164"/>
      <c r="CD74" s="164"/>
      <c r="CE74" s="164"/>
      <c r="CF74" s="164"/>
      <c r="CG74" s="164"/>
      <c r="CH74" s="165"/>
      <c r="CI74" s="164"/>
      <c r="CJ74" s="164"/>
      <c r="CK74" s="164"/>
      <c r="CL74" s="164"/>
      <c r="CM74" s="164"/>
      <c r="CN74" s="165"/>
      <c r="CO74" s="164"/>
      <c r="CP74" s="164"/>
      <c r="CQ74" s="164"/>
      <c r="CR74" s="164"/>
      <c r="CS74" s="164"/>
      <c r="CT74" s="165"/>
      <c r="CU74" s="164"/>
      <c r="CV74" s="164"/>
      <c r="CW74" s="164"/>
      <c r="CX74" s="164"/>
      <c r="CY74" s="164"/>
      <c r="CZ74" s="165"/>
      <c r="DA74" s="164"/>
      <c r="DB74" s="164"/>
      <c r="DC74" s="164"/>
      <c r="DD74" s="164"/>
      <c r="DE74" s="164"/>
      <c r="DF74" s="165"/>
      <c r="DG74" s="164"/>
      <c r="DH74" s="164"/>
      <c r="DI74" s="164"/>
      <c r="DJ74" s="164"/>
      <c r="DK74" s="164"/>
      <c r="DL74" s="165"/>
    </row>
    <row r="75" spans="1:116" s="166" customFormat="1" x14ac:dyDescent="0.2">
      <c r="A75" s="162"/>
      <c r="B75" s="163" t="s">
        <v>98</v>
      </c>
      <c r="C75" s="162"/>
      <c r="D75" s="164"/>
      <c r="E75" s="164"/>
      <c r="F75" s="164"/>
      <c r="G75" s="164"/>
      <c r="H75" s="165"/>
      <c r="I75" s="164"/>
      <c r="J75" s="164"/>
      <c r="K75" s="164"/>
      <c r="L75" s="164"/>
      <c r="M75" s="164"/>
      <c r="N75" s="165"/>
      <c r="O75" s="164"/>
      <c r="P75" s="164"/>
      <c r="Q75" s="164"/>
      <c r="R75" s="164"/>
      <c r="S75" s="164"/>
      <c r="T75" s="165"/>
      <c r="U75" s="164"/>
      <c r="V75" s="164"/>
      <c r="W75" s="164"/>
      <c r="X75" s="164"/>
      <c r="Y75" s="164"/>
      <c r="Z75" s="165"/>
      <c r="AA75" s="164"/>
      <c r="AB75" s="164"/>
      <c r="AC75" s="164"/>
      <c r="AD75" s="164"/>
      <c r="AE75" s="164"/>
      <c r="AF75" s="165"/>
      <c r="AG75" s="164"/>
      <c r="AH75" s="164"/>
      <c r="AI75" s="164"/>
      <c r="AJ75" s="164"/>
      <c r="AK75" s="164"/>
      <c r="AL75" s="165"/>
      <c r="AM75" s="164"/>
      <c r="AN75" s="164"/>
      <c r="AO75" s="164"/>
      <c r="AP75" s="164"/>
      <c r="AQ75" s="164"/>
      <c r="AR75" s="165"/>
      <c r="AS75" s="164"/>
      <c r="AT75" s="164"/>
      <c r="AU75" s="164"/>
      <c r="AV75" s="164"/>
      <c r="AW75" s="164"/>
      <c r="AX75" s="165"/>
      <c r="AY75" s="164"/>
      <c r="AZ75" s="164"/>
      <c r="BA75" s="164"/>
      <c r="BB75" s="164"/>
      <c r="BC75" s="164"/>
      <c r="BD75" s="165"/>
      <c r="BE75" s="164"/>
      <c r="BF75" s="164"/>
      <c r="BG75" s="164"/>
      <c r="BH75" s="164"/>
      <c r="BI75" s="164"/>
      <c r="BJ75" s="165"/>
      <c r="BK75" s="164"/>
      <c r="BL75" s="164"/>
      <c r="BM75" s="164"/>
      <c r="BN75" s="164"/>
      <c r="BO75" s="162"/>
      <c r="BP75" s="165"/>
      <c r="BQ75" s="164"/>
      <c r="BR75" s="164"/>
      <c r="BS75" s="164"/>
      <c r="BT75" s="164"/>
      <c r="BU75" s="164"/>
      <c r="BV75" s="165"/>
      <c r="BW75" s="164"/>
      <c r="BX75" s="164"/>
      <c r="BY75" s="164"/>
      <c r="BZ75" s="164"/>
      <c r="CA75" s="164"/>
      <c r="CB75" s="165"/>
      <c r="CC75" s="164"/>
      <c r="CD75" s="164"/>
      <c r="CE75" s="164"/>
      <c r="CF75" s="164"/>
      <c r="CG75" s="164"/>
      <c r="CH75" s="165"/>
      <c r="CI75" s="164"/>
      <c r="CJ75" s="164"/>
      <c r="CK75" s="164"/>
      <c r="CL75" s="164"/>
      <c r="CM75" s="164"/>
      <c r="CN75" s="165"/>
      <c r="CO75" s="164"/>
      <c r="CP75" s="164"/>
      <c r="CQ75" s="164"/>
      <c r="CR75" s="164"/>
      <c r="CS75" s="164"/>
      <c r="CT75" s="165"/>
      <c r="CU75" s="164"/>
      <c r="CV75" s="164"/>
      <c r="CW75" s="164"/>
      <c r="CX75" s="164"/>
      <c r="CY75" s="164"/>
      <c r="CZ75" s="165"/>
      <c r="DA75" s="164"/>
      <c r="DB75" s="164"/>
      <c r="DC75" s="164"/>
      <c r="DD75" s="164"/>
      <c r="DE75" s="164"/>
      <c r="DF75" s="165"/>
      <c r="DG75" s="164"/>
      <c r="DH75" s="164"/>
      <c r="DI75" s="164"/>
      <c r="DJ75" s="164"/>
      <c r="DK75" s="164"/>
      <c r="DL75" s="165"/>
    </row>
    <row r="76" spans="1:116" s="166" customFormat="1" x14ac:dyDescent="0.2">
      <c r="A76" s="162"/>
      <c r="B76" s="163"/>
      <c r="C76" s="164"/>
      <c r="D76" s="164"/>
      <c r="E76" s="164"/>
      <c r="F76" s="164"/>
      <c r="G76" s="164"/>
      <c r="H76" s="165"/>
      <c r="I76" s="164"/>
      <c r="J76" s="164"/>
      <c r="K76" s="164"/>
      <c r="L76" s="164"/>
      <c r="M76" s="164"/>
      <c r="N76" s="165"/>
      <c r="O76" s="164"/>
      <c r="P76" s="164"/>
      <c r="Q76" s="164"/>
      <c r="R76" s="164"/>
      <c r="S76" s="164"/>
      <c r="T76" s="165"/>
      <c r="U76" s="164"/>
      <c r="V76" s="164"/>
      <c r="W76" s="164"/>
      <c r="X76" s="164"/>
      <c r="Y76" s="164"/>
      <c r="Z76" s="165"/>
      <c r="AA76" s="164"/>
      <c r="AB76" s="164"/>
      <c r="AC76" s="164"/>
      <c r="AD76" s="164"/>
      <c r="AE76" s="164"/>
      <c r="AF76" s="165"/>
      <c r="AG76" s="164"/>
      <c r="AH76" s="164"/>
      <c r="AI76" s="164"/>
      <c r="AJ76" s="164"/>
      <c r="AK76" s="164"/>
      <c r="AL76" s="165"/>
      <c r="AM76" s="164"/>
      <c r="AN76" s="164"/>
      <c r="AO76" s="164"/>
      <c r="AP76" s="164"/>
      <c r="AQ76" s="164"/>
      <c r="AR76" s="165"/>
      <c r="AS76" s="164"/>
      <c r="AT76" s="164"/>
      <c r="AU76" s="164"/>
      <c r="AV76" s="164"/>
      <c r="AW76" s="164"/>
      <c r="AX76" s="165"/>
      <c r="AY76" s="164"/>
      <c r="AZ76" s="164"/>
      <c r="BA76" s="164"/>
      <c r="BB76" s="164"/>
      <c r="BC76" s="164"/>
      <c r="BD76" s="165"/>
      <c r="BE76" s="164"/>
      <c r="BF76" s="164"/>
      <c r="BG76" s="164"/>
      <c r="BH76" s="164"/>
      <c r="BI76" s="164"/>
      <c r="BJ76" s="165"/>
      <c r="BK76" s="164"/>
      <c r="BL76" s="164"/>
      <c r="BM76" s="164"/>
      <c r="BN76" s="164"/>
      <c r="BO76" s="164"/>
      <c r="BP76" s="165"/>
      <c r="BQ76" s="164"/>
      <c r="BR76" s="164"/>
      <c r="BS76" s="164"/>
      <c r="BT76" s="164"/>
      <c r="BU76" s="164"/>
      <c r="BV76" s="165"/>
      <c r="BW76" s="164"/>
      <c r="BX76" s="164"/>
      <c r="BY76" s="164"/>
      <c r="BZ76" s="164"/>
      <c r="CA76" s="164"/>
      <c r="CB76" s="165"/>
      <c r="CC76" s="164"/>
      <c r="CD76" s="164"/>
      <c r="CE76" s="164"/>
      <c r="CF76" s="164"/>
      <c r="CG76" s="164"/>
      <c r="CH76" s="165"/>
      <c r="CI76" s="164"/>
      <c r="CJ76" s="164"/>
      <c r="CK76" s="164"/>
      <c r="CL76" s="164"/>
      <c r="CM76" s="164"/>
      <c r="CN76" s="165"/>
      <c r="CO76" s="164"/>
      <c r="CP76" s="164"/>
      <c r="CQ76" s="164"/>
      <c r="CR76" s="164"/>
      <c r="CS76" s="164"/>
      <c r="CT76" s="165"/>
      <c r="CU76" s="164"/>
      <c r="CV76" s="164"/>
      <c r="CW76" s="164"/>
      <c r="CX76" s="164"/>
      <c r="CY76" s="164"/>
      <c r="CZ76" s="165"/>
      <c r="DA76" s="164"/>
      <c r="DB76" s="164"/>
      <c r="DC76" s="164"/>
      <c r="DD76" s="164"/>
      <c r="DE76" s="164"/>
      <c r="DF76" s="165"/>
      <c r="DG76" s="164"/>
      <c r="DH76" s="164"/>
      <c r="DI76" s="164"/>
      <c r="DJ76" s="164"/>
      <c r="DK76" s="164"/>
      <c r="DL76" s="165"/>
    </row>
    <row r="77" spans="1:116" x14ac:dyDescent="0.2">
      <c r="A77" s="167"/>
      <c r="B77" s="168" t="s">
        <v>99</v>
      </c>
      <c r="C77" s="90"/>
      <c r="D77" s="90"/>
      <c r="E77" s="90"/>
      <c r="F77" s="169"/>
      <c r="G77" s="170">
        <v>1000</v>
      </c>
      <c r="H77" s="169"/>
      <c r="M77" s="170">
        <v>1000</v>
      </c>
      <c r="S77" s="170">
        <v>1000</v>
      </c>
      <c r="Y77" s="170">
        <v>1000</v>
      </c>
    </row>
    <row r="78" spans="1:116" x14ac:dyDescent="0.2">
      <c r="A78" s="167"/>
      <c r="B78" s="168"/>
      <c r="C78" s="90"/>
      <c r="D78" s="90"/>
      <c r="E78" s="90"/>
      <c r="F78" s="169"/>
      <c r="G78" s="169"/>
      <c r="H78" s="169"/>
    </row>
  </sheetData>
  <mergeCells count="40">
    <mergeCell ref="AG7:AI7"/>
    <mergeCell ref="C7:E7"/>
    <mergeCell ref="I7:K7"/>
    <mergeCell ref="O7:Q7"/>
    <mergeCell ref="U7:W7"/>
    <mergeCell ref="AA7:AC7"/>
    <mergeCell ref="AS9:AU9"/>
    <mergeCell ref="BW7:BY7"/>
    <mergeCell ref="C9:E9"/>
    <mergeCell ref="F9:H9"/>
    <mergeCell ref="I9:K9"/>
    <mergeCell ref="L9:N9"/>
    <mergeCell ref="O9:Q9"/>
    <mergeCell ref="R9:T9"/>
    <mergeCell ref="U9:W9"/>
    <mergeCell ref="X9:Z9"/>
    <mergeCell ref="AA9:AC9"/>
    <mergeCell ref="AM7:AO7"/>
    <mergeCell ref="AS7:AU7"/>
    <mergeCell ref="AY7:BA7"/>
    <mergeCell ref="BE7:BG7"/>
    <mergeCell ref="BK7:BM7"/>
    <mergeCell ref="AD9:AF9"/>
    <mergeCell ref="AG9:AI9"/>
    <mergeCell ref="AJ9:AL9"/>
    <mergeCell ref="AM9:AO9"/>
    <mergeCell ref="AP9:AR9"/>
    <mergeCell ref="BZ7:CB7"/>
    <mergeCell ref="AV9:AX9"/>
    <mergeCell ref="AY9:BA9"/>
    <mergeCell ref="BB9:BD9"/>
    <mergeCell ref="BE9:BG9"/>
    <mergeCell ref="BH9:BJ9"/>
    <mergeCell ref="BK9:BM9"/>
    <mergeCell ref="BQ7:BS7"/>
    <mergeCell ref="BN9:BP9"/>
    <mergeCell ref="BQ9:BS9"/>
    <mergeCell ref="BT9:BV9"/>
    <mergeCell ref="BW9:BY9"/>
    <mergeCell ref="BZ9:CB9"/>
  </mergeCells>
  <conditionalFormatting sqref="B5:H5 C1:H4 D6:H6 A77:F78 H77:H78 G78 A1:A73 B8:B73 D31:H31 D30:K30 C26:C73 BW7:BW12 BX8:CB12 BU8:BV10 BT7:BT10 BR8:BS12 BQ7:BQ12 BO8:BP10 BN7:BN10 BL8:BM12 BK7:BK12 BF8:BJ10 BE7:BE10 BC8:BD10 BB7:BB10 AZ8:BA12 AX7:AY12 AT8:AU12 AS7:AS12 AW8:AW10 AV7:AV10 AQ8:AR10 AP7:AP10 AN8:AO12 AM7:AM12 AK8:AL10 AJ7:AJ10 AH8:AI12 AG7:AG12 AE8:AF10 AD7:AD10 AB8:AC12 AA7:AA12 Y8:Z10 X7:X10 V8:W12 U7:U12 S8:T10 R7:R10 P8:Q12 O7:O12 F7 C6:C12 D8:E12 I70:CB72 I31:K66 C13:K13 C14:E14 H14:K14 C16:E16 H16:K16 C15:K15 C17:K17 C19:K19 C18:E18 H18:K18 C23:K23 C20:E22 H20:K22 C25:K25 C24:E24 H24:K24 D26:E29 H26:K29 H12:K12 D32:E32 H32 D34:E36 H34:H36 D38:E38 H38 D43:E46 H43:H46 D33:H33 D37:H37 D39:H42 D47:H47 D49:H49 D48:E48 H48 D51:H51 D50:E50 H50 D59:H60 D52:E58 H52:H58 D62:H62 D61:E61 H61 D64:H64 D63:E63 H63 D67:K67 D65:E66 H65:H66 D70:H73 D68:E69 H8:N8 F9:N10 F11:K11 N11:N12 H68:K69 N13:Q69 T13:W69 T11:T12 Z13:AC69 Z11:Z12 AF13:AI69 AF11:AF12 AL13:AO69 AL11:AL12 AR13:AU69 AR11:AR12 AX13:BA69 BD11:BD69 BJ13:BM69 BJ11:BJ12 BP13:BS69 BP11:BP12 BV13:CB69 BV11:BV12 BG11:BG69">
    <cfRule type="expression" dxfId="313" priority="234" stopIfTrue="1">
      <formula>ISERROR($C$12:$E$69)=TRUE</formula>
    </cfRule>
  </conditionalFormatting>
  <conditionalFormatting sqref="C74:DL76">
    <cfRule type="expression" dxfId="312" priority="235" stopIfTrue="1">
      <formula>ISERROR(C74)=TRUE</formula>
    </cfRule>
  </conditionalFormatting>
  <conditionalFormatting sqref="BZ7">
    <cfRule type="expression" dxfId="311" priority="231" stopIfTrue="1">
      <formula>ISERROR($C$12:$E$69)=TRUE</formula>
    </cfRule>
  </conditionalFormatting>
  <conditionalFormatting sqref="F14:G14">
    <cfRule type="expression" dxfId="310" priority="222" stopIfTrue="1">
      <formula>ISERROR($C$12:$E$69)=TRUE</formula>
    </cfRule>
  </conditionalFormatting>
  <conditionalFormatting sqref="F16:G16">
    <cfRule type="expression" dxfId="309" priority="221" stopIfTrue="1">
      <formula>ISERROR($C$12:$E$69)=TRUE</formula>
    </cfRule>
  </conditionalFormatting>
  <conditionalFormatting sqref="F12:G12">
    <cfRule type="expression" dxfId="308" priority="220" stopIfTrue="1">
      <formula>ISERROR($C$12:$E$69)=TRUE</formula>
    </cfRule>
  </conditionalFormatting>
  <conditionalFormatting sqref="F18:G18">
    <cfRule type="expression" dxfId="307" priority="219" stopIfTrue="1">
      <formula>ISERROR($C$12:$E$69)=TRUE</formula>
    </cfRule>
  </conditionalFormatting>
  <conditionalFormatting sqref="F20:G22">
    <cfRule type="expression" dxfId="306" priority="218" stopIfTrue="1">
      <formula>ISERROR($C$12:$E$69)=TRUE</formula>
    </cfRule>
  </conditionalFormatting>
  <conditionalFormatting sqref="F26:G29">
    <cfRule type="expression" dxfId="305" priority="217" stopIfTrue="1">
      <formula>ISERROR($C$12:$E$69)=TRUE</formula>
    </cfRule>
  </conditionalFormatting>
  <conditionalFormatting sqref="F24:G24">
    <cfRule type="expression" dxfId="304" priority="216" stopIfTrue="1">
      <formula>ISERROR($C$12:$E$69)=TRUE</formula>
    </cfRule>
  </conditionalFormatting>
  <conditionalFormatting sqref="F32:G32">
    <cfRule type="expression" dxfId="303" priority="215" stopIfTrue="1">
      <formula>ISERROR($C$12:$E$69)=TRUE</formula>
    </cfRule>
  </conditionalFormatting>
  <conditionalFormatting sqref="F43:G46 F38:G38 F34:G36">
    <cfRule type="expression" dxfId="302" priority="214" stopIfTrue="1">
      <formula>ISERROR($C$12:$E$69)=TRUE</formula>
    </cfRule>
  </conditionalFormatting>
  <conditionalFormatting sqref="F48:G48">
    <cfRule type="expression" dxfId="301" priority="213" stopIfTrue="1">
      <formula>ISERROR($C$12:$E$69)=TRUE</formula>
    </cfRule>
  </conditionalFormatting>
  <conditionalFormatting sqref="F50:G50">
    <cfRule type="expression" dxfId="300" priority="212" stopIfTrue="1">
      <formula>ISERROR($C$12:$E$69)=TRUE</formula>
    </cfRule>
  </conditionalFormatting>
  <conditionalFormatting sqref="F52:G58">
    <cfRule type="expression" dxfId="299" priority="211" stopIfTrue="1">
      <formula>ISERROR($C$12:$E$69)=TRUE</formula>
    </cfRule>
  </conditionalFormatting>
  <conditionalFormatting sqref="F61:G61">
    <cfRule type="expression" dxfId="298" priority="210" stopIfTrue="1">
      <formula>ISERROR($C$12:$E$69)=TRUE</formula>
    </cfRule>
  </conditionalFormatting>
  <conditionalFormatting sqref="F63:G63">
    <cfRule type="expression" dxfId="297" priority="209" stopIfTrue="1">
      <formula>ISERROR($C$12:$E$69)=TRUE</formula>
    </cfRule>
  </conditionalFormatting>
  <conditionalFormatting sqref="F65:G66">
    <cfRule type="expression" dxfId="296" priority="208" stopIfTrue="1">
      <formula>ISERROR($C$12:$E$69)=TRUE</formula>
    </cfRule>
  </conditionalFormatting>
  <conditionalFormatting sqref="F68:G69">
    <cfRule type="expression" dxfId="295" priority="207" stopIfTrue="1">
      <formula>ISERROR($C$12:$E$69)=TRUE</formula>
    </cfRule>
  </conditionalFormatting>
  <conditionalFormatting sqref="F8:G8">
    <cfRule type="expression" dxfId="294" priority="206" stopIfTrue="1">
      <formula>ISERROR($C$12:$E$73)=TRUE</formula>
    </cfRule>
  </conditionalFormatting>
  <conditionalFormatting sqref="F8:G8">
    <cfRule type="expression" dxfId="293" priority="205" stopIfTrue="1">
      <formula>ISERROR($C$12:$E$69)=TRUE</formula>
    </cfRule>
  </conditionalFormatting>
  <conditionalFormatting sqref="L30:M31 L13:M13 L15:M15 L17:M17 L19:M19 L23:M23 L25:M25 L33:M33 L37:M37 L39:M42 L47:M47 L49:M49 L51:M51 L59:M60 L62:M62 L64:M64 L67:M67 L11:M11">
    <cfRule type="expression" dxfId="292" priority="204" stopIfTrue="1">
      <formula>ISERROR($C$12:$E$69)=TRUE</formula>
    </cfRule>
  </conditionalFormatting>
  <conditionalFormatting sqref="L14:M14">
    <cfRule type="expression" dxfId="291" priority="203" stopIfTrue="1">
      <formula>ISERROR($C$12:$E$69)=TRUE</formula>
    </cfRule>
  </conditionalFormatting>
  <conditionalFormatting sqref="L16:M16">
    <cfRule type="expression" dxfId="290" priority="202" stopIfTrue="1">
      <formula>ISERROR($C$12:$E$69)=TRUE</formula>
    </cfRule>
  </conditionalFormatting>
  <conditionalFormatting sqref="L12:M12">
    <cfRule type="expression" dxfId="289" priority="201" stopIfTrue="1">
      <formula>ISERROR($C$12:$E$69)=TRUE</formula>
    </cfRule>
  </conditionalFormatting>
  <conditionalFormatting sqref="L18:M18">
    <cfRule type="expression" dxfId="288" priority="200" stopIfTrue="1">
      <formula>ISERROR($C$12:$E$69)=TRUE</formula>
    </cfRule>
  </conditionalFormatting>
  <conditionalFormatting sqref="L20:M22">
    <cfRule type="expression" dxfId="287" priority="199" stopIfTrue="1">
      <formula>ISERROR($C$12:$E$69)=TRUE</formula>
    </cfRule>
  </conditionalFormatting>
  <conditionalFormatting sqref="L26:M29">
    <cfRule type="expression" dxfId="286" priority="198" stopIfTrue="1">
      <formula>ISERROR($C$12:$E$69)=TRUE</formula>
    </cfRule>
  </conditionalFormatting>
  <conditionalFormatting sqref="L24:M24">
    <cfRule type="expression" dxfId="285" priority="197" stopIfTrue="1">
      <formula>ISERROR($C$12:$E$69)=TRUE</formula>
    </cfRule>
  </conditionalFormatting>
  <conditionalFormatting sqref="L32:M32">
    <cfRule type="expression" dxfId="284" priority="196" stopIfTrue="1">
      <formula>ISERROR($C$12:$E$69)=TRUE</formula>
    </cfRule>
  </conditionalFormatting>
  <conditionalFormatting sqref="L43:M46 L38:M38 L34:M36">
    <cfRule type="expression" dxfId="283" priority="195" stopIfTrue="1">
      <formula>ISERROR($C$12:$E$69)=TRUE</formula>
    </cfRule>
  </conditionalFormatting>
  <conditionalFormatting sqref="L48:M48">
    <cfRule type="expression" dxfId="282" priority="194" stopIfTrue="1">
      <formula>ISERROR($C$12:$E$69)=TRUE</formula>
    </cfRule>
  </conditionalFormatting>
  <conditionalFormatting sqref="L50:M50">
    <cfRule type="expression" dxfId="281" priority="193" stopIfTrue="1">
      <formula>ISERROR($C$12:$E$69)=TRUE</formula>
    </cfRule>
  </conditionalFormatting>
  <conditionalFormatting sqref="L52:M58">
    <cfRule type="expression" dxfId="280" priority="192" stopIfTrue="1">
      <formula>ISERROR($C$12:$E$69)=TRUE</formula>
    </cfRule>
  </conditionalFormatting>
  <conditionalFormatting sqref="L61:M61">
    <cfRule type="expression" dxfId="279" priority="191" stopIfTrue="1">
      <formula>ISERROR($C$12:$E$69)=TRUE</formula>
    </cfRule>
  </conditionalFormatting>
  <conditionalFormatting sqref="L63:M63">
    <cfRule type="expression" dxfId="278" priority="190" stopIfTrue="1">
      <formula>ISERROR($C$12:$E$69)=TRUE</formula>
    </cfRule>
  </conditionalFormatting>
  <conditionalFormatting sqref="L65:M66">
    <cfRule type="expression" dxfId="277" priority="189" stopIfTrue="1">
      <formula>ISERROR($C$12:$E$69)=TRUE</formula>
    </cfRule>
  </conditionalFormatting>
  <conditionalFormatting sqref="L68:M69">
    <cfRule type="expression" dxfId="276" priority="188" stopIfTrue="1">
      <formula>ISERROR($C$12:$E$69)=TRUE</formula>
    </cfRule>
  </conditionalFormatting>
  <conditionalFormatting sqref="R30:S31 R13:S13 R15:S15 R17:S17 R19:S19 R23:S23 R25:S25 R33:S33 R37:S37 R39:S42 R47:S47 R49:S49 R51:S51 R59:S60 R62:S62 R64:S64 R67:S67 R11:S11">
    <cfRule type="expression" dxfId="275" priority="187" stopIfTrue="1">
      <formula>ISERROR($C$12:$E$69)=TRUE</formula>
    </cfRule>
  </conditionalFormatting>
  <conditionalFormatting sqref="R14:S14">
    <cfRule type="expression" dxfId="274" priority="186" stopIfTrue="1">
      <formula>ISERROR($C$12:$E$69)=TRUE</formula>
    </cfRule>
  </conditionalFormatting>
  <conditionalFormatting sqref="R16:S16">
    <cfRule type="expression" dxfId="273" priority="185" stopIfTrue="1">
      <formula>ISERROR($C$12:$E$69)=TRUE</formula>
    </cfRule>
  </conditionalFormatting>
  <conditionalFormatting sqref="R12:S12">
    <cfRule type="expression" dxfId="272" priority="184" stopIfTrue="1">
      <formula>ISERROR($C$12:$E$69)=TRUE</formula>
    </cfRule>
  </conditionalFormatting>
  <conditionalFormatting sqref="R18:S18">
    <cfRule type="expression" dxfId="271" priority="183" stopIfTrue="1">
      <formula>ISERROR($C$12:$E$69)=TRUE</formula>
    </cfRule>
  </conditionalFormatting>
  <conditionalFormatting sqref="R20:S22">
    <cfRule type="expression" dxfId="270" priority="182" stopIfTrue="1">
      <formula>ISERROR($C$12:$E$69)=TRUE</formula>
    </cfRule>
  </conditionalFormatting>
  <conditionalFormatting sqref="R26:S29">
    <cfRule type="expression" dxfId="269" priority="181" stopIfTrue="1">
      <formula>ISERROR($C$12:$E$69)=TRUE</formula>
    </cfRule>
  </conditionalFormatting>
  <conditionalFormatting sqref="R24:S24">
    <cfRule type="expression" dxfId="268" priority="180" stopIfTrue="1">
      <formula>ISERROR($C$12:$E$69)=TRUE</formula>
    </cfRule>
  </conditionalFormatting>
  <conditionalFormatting sqref="R32:S32">
    <cfRule type="expression" dxfId="267" priority="179" stopIfTrue="1">
      <formula>ISERROR($C$12:$E$69)=TRUE</formula>
    </cfRule>
  </conditionalFormatting>
  <conditionalFormatting sqref="R43:S46 R38:S38 R34:S36">
    <cfRule type="expression" dxfId="266" priority="178" stopIfTrue="1">
      <formula>ISERROR($C$12:$E$69)=TRUE</formula>
    </cfRule>
  </conditionalFormatting>
  <conditionalFormatting sqref="R48:S48">
    <cfRule type="expression" dxfId="265" priority="177" stopIfTrue="1">
      <formula>ISERROR($C$12:$E$69)=TRUE</formula>
    </cfRule>
  </conditionalFormatting>
  <conditionalFormatting sqref="R50:S50">
    <cfRule type="expression" dxfId="264" priority="176" stopIfTrue="1">
      <formula>ISERROR($C$12:$E$69)=TRUE</formula>
    </cfRule>
  </conditionalFormatting>
  <conditionalFormatting sqref="R52:S58">
    <cfRule type="expression" dxfId="263" priority="175" stopIfTrue="1">
      <formula>ISERROR($C$12:$E$69)=TRUE</formula>
    </cfRule>
  </conditionalFormatting>
  <conditionalFormatting sqref="R61:S61">
    <cfRule type="expression" dxfId="262" priority="174" stopIfTrue="1">
      <formula>ISERROR($C$12:$E$69)=TRUE</formula>
    </cfRule>
  </conditionalFormatting>
  <conditionalFormatting sqref="R63:S63">
    <cfRule type="expression" dxfId="261" priority="173" stopIfTrue="1">
      <formula>ISERROR($C$12:$E$69)=TRUE</formula>
    </cfRule>
  </conditionalFormatting>
  <conditionalFormatting sqref="R65:S66">
    <cfRule type="expression" dxfId="260" priority="172" stopIfTrue="1">
      <formula>ISERROR($C$12:$E$69)=TRUE</formula>
    </cfRule>
  </conditionalFormatting>
  <conditionalFormatting sqref="R68:S69">
    <cfRule type="expression" dxfId="259" priority="171" stopIfTrue="1">
      <formula>ISERROR($C$12:$E$69)=TRUE</formula>
    </cfRule>
  </conditionalFormatting>
  <conditionalFormatting sqref="X30:Y31 X13:Y13 X15:Y15 X17:Y17 X19:Y19 X23:Y23 X25:Y25 X33:Y33 X37:Y37 X39:Y42 X47:Y47 X49:Y49 X51:Y51 X59:Y60 X62:Y62 X64:Y64 X67:Y67 X11:Y11">
    <cfRule type="expression" dxfId="258" priority="170" stopIfTrue="1">
      <formula>ISERROR($C$12:$E$69)=TRUE</formula>
    </cfRule>
  </conditionalFormatting>
  <conditionalFormatting sqref="X14:Y14">
    <cfRule type="expression" dxfId="257" priority="169" stopIfTrue="1">
      <formula>ISERROR($C$12:$E$69)=TRUE</formula>
    </cfRule>
  </conditionalFormatting>
  <conditionalFormatting sqref="X16:Y16">
    <cfRule type="expression" dxfId="256" priority="168" stopIfTrue="1">
      <formula>ISERROR($C$12:$E$69)=TRUE</formula>
    </cfRule>
  </conditionalFormatting>
  <conditionalFormatting sqref="X12:Y12">
    <cfRule type="expression" dxfId="255" priority="167" stopIfTrue="1">
      <formula>ISERROR($C$12:$E$69)=TRUE</formula>
    </cfRule>
  </conditionalFormatting>
  <conditionalFormatting sqref="X18:Y18">
    <cfRule type="expression" dxfId="254" priority="166" stopIfTrue="1">
      <formula>ISERROR($C$12:$E$69)=TRUE</formula>
    </cfRule>
  </conditionalFormatting>
  <conditionalFormatting sqref="X20:Y22">
    <cfRule type="expression" dxfId="253" priority="165" stopIfTrue="1">
      <formula>ISERROR($C$12:$E$69)=TRUE</formula>
    </cfRule>
  </conditionalFormatting>
  <conditionalFormatting sqref="X26:Y29">
    <cfRule type="expression" dxfId="252" priority="164" stopIfTrue="1">
      <formula>ISERROR($C$12:$E$69)=TRUE</formula>
    </cfRule>
  </conditionalFormatting>
  <conditionalFormatting sqref="X24:Y24">
    <cfRule type="expression" dxfId="251" priority="163" stopIfTrue="1">
      <formula>ISERROR($C$12:$E$69)=TRUE</formula>
    </cfRule>
  </conditionalFormatting>
  <conditionalFormatting sqref="X32:Y32">
    <cfRule type="expression" dxfId="250" priority="162" stopIfTrue="1">
      <formula>ISERROR($C$12:$E$69)=TRUE</formula>
    </cfRule>
  </conditionalFormatting>
  <conditionalFormatting sqref="X43:Y46 X38:Y38 X34:Y36">
    <cfRule type="expression" dxfId="249" priority="161" stopIfTrue="1">
      <formula>ISERROR($C$12:$E$69)=TRUE</formula>
    </cfRule>
  </conditionalFormatting>
  <conditionalFormatting sqref="X48:Y48">
    <cfRule type="expression" dxfId="248" priority="160" stopIfTrue="1">
      <formula>ISERROR($C$12:$E$69)=TRUE</formula>
    </cfRule>
  </conditionalFormatting>
  <conditionalFormatting sqref="X50:Y50">
    <cfRule type="expression" dxfId="247" priority="159" stopIfTrue="1">
      <formula>ISERROR($C$12:$E$69)=TRUE</formula>
    </cfRule>
  </conditionalFormatting>
  <conditionalFormatting sqref="X52:Y58">
    <cfRule type="expression" dxfId="246" priority="158" stopIfTrue="1">
      <formula>ISERROR($C$12:$E$69)=TRUE</formula>
    </cfRule>
  </conditionalFormatting>
  <conditionalFormatting sqref="X61:Y61">
    <cfRule type="expression" dxfId="245" priority="157" stopIfTrue="1">
      <formula>ISERROR($C$12:$E$69)=TRUE</formula>
    </cfRule>
  </conditionalFormatting>
  <conditionalFormatting sqref="X63:Y63">
    <cfRule type="expression" dxfId="244" priority="156" stopIfTrue="1">
      <formula>ISERROR($C$12:$E$69)=TRUE</formula>
    </cfRule>
  </conditionalFormatting>
  <conditionalFormatting sqref="X65:Y66">
    <cfRule type="expression" dxfId="243" priority="155" stopIfTrue="1">
      <formula>ISERROR($C$12:$E$69)=TRUE</formula>
    </cfRule>
  </conditionalFormatting>
  <conditionalFormatting sqref="X68:Y69">
    <cfRule type="expression" dxfId="242" priority="154" stopIfTrue="1">
      <formula>ISERROR($C$12:$E$69)=TRUE</formula>
    </cfRule>
  </conditionalFormatting>
  <conditionalFormatting sqref="AD30:AE31 AD13:AE13 AD15:AE15 AD17:AE17 AD19:AE19 AD23:AE23 AD25:AE25 AD33:AE33 AD37:AE37 AD39:AE42 AD47:AE47 AD49:AE49 AD51:AE51 AD59:AE60 AD62:AE62 AD64:AE64 AD67:AE67 AD11:AE11">
    <cfRule type="expression" dxfId="241" priority="153" stopIfTrue="1">
      <formula>ISERROR($C$12:$E$69)=TRUE</formula>
    </cfRule>
  </conditionalFormatting>
  <conditionalFormatting sqref="AD14:AE14">
    <cfRule type="expression" dxfId="240" priority="152" stopIfTrue="1">
      <formula>ISERROR($C$12:$E$69)=TRUE</formula>
    </cfRule>
  </conditionalFormatting>
  <conditionalFormatting sqref="AD16:AE16">
    <cfRule type="expression" dxfId="239" priority="151" stopIfTrue="1">
      <formula>ISERROR($C$12:$E$69)=TRUE</formula>
    </cfRule>
  </conditionalFormatting>
  <conditionalFormatting sqref="AD12:AE12">
    <cfRule type="expression" dxfId="238" priority="150" stopIfTrue="1">
      <formula>ISERROR($C$12:$E$69)=TRUE</formula>
    </cfRule>
  </conditionalFormatting>
  <conditionalFormatting sqref="AD18:AE18">
    <cfRule type="expression" dxfId="237" priority="149" stopIfTrue="1">
      <formula>ISERROR($C$12:$E$69)=TRUE</formula>
    </cfRule>
  </conditionalFormatting>
  <conditionalFormatting sqref="AD20:AE22">
    <cfRule type="expression" dxfId="236" priority="148" stopIfTrue="1">
      <formula>ISERROR($C$12:$E$69)=TRUE</formula>
    </cfRule>
  </conditionalFormatting>
  <conditionalFormatting sqref="AD26:AE29">
    <cfRule type="expression" dxfId="235" priority="147" stopIfTrue="1">
      <formula>ISERROR($C$12:$E$69)=TRUE</formula>
    </cfRule>
  </conditionalFormatting>
  <conditionalFormatting sqref="AD24:AE24">
    <cfRule type="expression" dxfId="234" priority="146" stopIfTrue="1">
      <formula>ISERROR($C$12:$E$69)=TRUE</formula>
    </cfRule>
  </conditionalFormatting>
  <conditionalFormatting sqref="AD32:AE32">
    <cfRule type="expression" dxfId="233" priority="145" stopIfTrue="1">
      <formula>ISERROR($C$12:$E$69)=TRUE</formula>
    </cfRule>
  </conditionalFormatting>
  <conditionalFormatting sqref="AD43:AE46 AD38:AE38 AD34:AE36">
    <cfRule type="expression" dxfId="232" priority="144" stopIfTrue="1">
      <formula>ISERROR($C$12:$E$69)=TRUE</formula>
    </cfRule>
  </conditionalFormatting>
  <conditionalFormatting sqref="AD48:AE48">
    <cfRule type="expression" dxfId="231" priority="143" stopIfTrue="1">
      <formula>ISERROR($C$12:$E$69)=TRUE</formula>
    </cfRule>
  </conditionalFormatting>
  <conditionalFormatting sqref="AD50:AE50">
    <cfRule type="expression" dxfId="230" priority="142" stopIfTrue="1">
      <formula>ISERROR($C$12:$E$69)=TRUE</formula>
    </cfRule>
  </conditionalFormatting>
  <conditionalFormatting sqref="AD52:AE58">
    <cfRule type="expression" dxfId="229" priority="141" stopIfTrue="1">
      <formula>ISERROR($C$12:$E$69)=TRUE</formula>
    </cfRule>
  </conditionalFormatting>
  <conditionalFormatting sqref="AD61:AE61">
    <cfRule type="expression" dxfId="228" priority="140" stopIfTrue="1">
      <formula>ISERROR($C$12:$E$69)=TRUE</formula>
    </cfRule>
  </conditionalFormatting>
  <conditionalFormatting sqref="AD63:AE63">
    <cfRule type="expression" dxfId="227" priority="139" stopIfTrue="1">
      <formula>ISERROR($C$12:$E$69)=TRUE</formula>
    </cfRule>
  </conditionalFormatting>
  <conditionalFormatting sqref="AD65:AE66">
    <cfRule type="expression" dxfId="226" priority="138" stopIfTrue="1">
      <formula>ISERROR($C$12:$E$69)=TRUE</formula>
    </cfRule>
  </conditionalFormatting>
  <conditionalFormatting sqref="AD68:AE69">
    <cfRule type="expression" dxfId="225" priority="137" stopIfTrue="1">
      <formula>ISERROR($C$12:$E$69)=TRUE</formula>
    </cfRule>
  </conditionalFormatting>
  <conditionalFormatting sqref="AJ30:AK31 AJ13:AK13 AJ15:AK15 AJ17:AK17 AJ19:AK19 AJ23:AK23 AJ25:AK25 AJ33:AK33 AJ37:AK37 AJ39:AK42 AJ47:AK47 AJ49:AK49 AJ51:AK51 AJ59:AK60 AJ62:AK62 AJ64:AK64 AJ67:AK67 AJ11:AK11">
    <cfRule type="expression" dxfId="224" priority="136" stopIfTrue="1">
      <formula>ISERROR($C$12:$E$69)=TRUE</formula>
    </cfRule>
  </conditionalFormatting>
  <conditionalFormatting sqref="AJ14:AK14">
    <cfRule type="expression" dxfId="223" priority="135" stopIfTrue="1">
      <formula>ISERROR($C$12:$E$69)=TRUE</formula>
    </cfRule>
  </conditionalFormatting>
  <conditionalFormatting sqref="AJ16:AK16">
    <cfRule type="expression" dxfId="222" priority="134" stopIfTrue="1">
      <formula>ISERROR($C$12:$E$69)=TRUE</formula>
    </cfRule>
  </conditionalFormatting>
  <conditionalFormatting sqref="AJ12:AK12">
    <cfRule type="expression" dxfId="221" priority="133" stopIfTrue="1">
      <formula>ISERROR($C$12:$E$69)=TRUE</formula>
    </cfRule>
  </conditionalFormatting>
  <conditionalFormatting sqref="AJ18:AK18">
    <cfRule type="expression" dxfId="220" priority="132" stopIfTrue="1">
      <formula>ISERROR($C$12:$E$69)=TRUE</formula>
    </cfRule>
  </conditionalFormatting>
  <conditionalFormatting sqref="AJ20:AK22">
    <cfRule type="expression" dxfId="219" priority="131" stopIfTrue="1">
      <formula>ISERROR($C$12:$E$69)=TRUE</formula>
    </cfRule>
  </conditionalFormatting>
  <conditionalFormatting sqref="AJ26:AK29">
    <cfRule type="expression" dxfId="218" priority="130" stopIfTrue="1">
      <formula>ISERROR($C$12:$E$69)=TRUE</formula>
    </cfRule>
  </conditionalFormatting>
  <conditionalFormatting sqref="AJ24:AK24">
    <cfRule type="expression" dxfId="217" priority="129" stopIfTrue="1">
      <formula>ISERROR($C$12:$E$69)=TRUE</formula>
    </cfRule>
  </conditionalFormatting>
  <conditionalFormatting sqref="AJ32:AK32">
    <cfRule type="expression" dxfId="216" priority="128" stopIfTrue="1">
      <formula>ISERROR($C$12:$E$69)=TRUE</formula>
    </cfRule>
  </conditionalFormatting>
  <conditionalFormatting sqref="AJ43:AK46 AJ38:AK38 AJ34:AK36">
    <cfRule type="expression" dxfId="215" priority="127" stopIfTrue="1">
      <formula>ISERROR($C$12:$E$69)=TRUE</formula>
    </cfRule>
  </conditionalFormatting>
  <conditionalFormatting sqref="AJ48:AK48">
    <cfRule type="expression" dxfId="214" priority="126" stopIfTrue="1">
      <formula>ISERROR($C$12:$E$69)=TRUE</formula>
    </cfRule>
  </conditionalFormatting>
  <conditionalFormatting sqref="AJ50:AK50">
    <cfRule type="expression" dxfId="213" priority="125" stopIfTrue="1">
      <formula>ISERROR($C$12:$E$69)=TRUE</formula>
    </cfRule>
  </conditionalFormatting>
  <conditionalFormatting sqref="AJ52:AK58">
    <cfRule type="expression" dxfId="212" priority="124" stopIfTrue="1">
      <formula>ISERROR($C$12:$E$69)=TRUE</formula>
    </cfRule>
  </conditionalFormatting>
  <conditionalFormatting sqref="AJ61:AK61">
    <cfRule type="expression" dxfId="211" priority="123" stopIfTrue="1">
      <formula>ISERROR($C$12:$E$69)=TRUE</formula>
    </cfRule>
  </conditionalFormatting>
  <conditionalFormatting sqref="AJ63:AK63">
    <cfRule type="expression" dxfId="210" priority="122" stopIfTrue="1">
      <formula>ISERROR($C$12:$E$69)=TRUE</formula>
    </cfRule>
  </conditionalFormatting>
  <conditionalFormatting sqref="AJ65:AK66">
    <cfRule type="expression" dxfId="209" priority="121" stopIfTrue="1">
      <formula>ISERROR($C$12:$E$69)=TRUE</formula>
    </cfRule>
  </conditionalFormatting>
  <conditionalFormatting sqref="AJ68:AK69">
    <cfRule type="expression" dxfId="208" priority="120" stopIfTrue="1">
      <formula>ISERROR($C$12:$E$69)=TRUE</formula>
    </cfRule>
  </conditionalFormatting>
  <conditionalFormatting sqref="AP30:AQ31 AP13:AQ13 AP15:AQ15 AP17:AQ17 AP19:AQ19 AP23:AQ23 AP25:AQ25 AP33:AQ33 AP37:AQ37 AP39:AQ42 AP47:AQ47 AP49:AQ49 AP51:AQ51 AP59:AQ60 AP62:AQ62 AP64:AQ64 AP67:AQ67 AP11:AQ11">
    <cfRule type="expression" dxfId="207" priority="119" stopIfTrue="1">
      <formula>ISERROR($C$12:$E$69)=TRUE</formula>
    </cfRule>
  </conditionalFormatting>
  <conditionalFormatting sqref="AP14:AQ14">
    <cfRule type="expression" dxfId="206" priority="118" stopIfTrue="1">
      <formula>ISERROR($C$12:$E$69)=TRUE</formula>
    </cfRule>
  </conditionalFormatting>
  <conditionalFormatting sqref="AP16:AQ16">
    <cfRule type="expression" dxfId="205" priority="117" stopIfTrue="1">
      <formula>ISERROR($C$12:$E$69)=TRUE</formula>
    </cfRule>
  </conditionalFormatting>
  <conditionalFormatting sqref="AP12:AQ12">
    <cfRule type="expression" dxfId="204" priority="116" stopIfTrue="1">
      <formula>ISERROR($C$12:$E$69)=TRUE</formula>
    </cfRule>
  </conditionalFormatting>
  <conditionalFormatting sqref="AP18:AQ18">
    <cfRule type="expression" dxfId="203" priority="115" stopIfTrue="1">
      <formula>ISERROR($C$12:$E$69)=TRUE</formula>
    </cfRule>
  </conditionalFormatting>
  <conditionalFormatting sqref="AP20:AQ22">
    <cfRule type="expression" dxfId="202" priority="114" stopIfTrue="1">
      <formula>ISERROR($C$12:$E$69)=TRUE</formula>
    </cfRule>
  </conditionalFormatting>
  <conditionalFormatting sqref="AP26:AQ29">
    <cfRule type="expression" dxfId="201" priority="113" stopIfTrue="1">
      <formula>ISERROR($C$12:$E$69)=TRUE</formula>
    </cfRule>
  </conditionalFormatting>
  <conditionalFormatting sqref="AP24:AQ24">
    <cfRule type="expression" dxfId="200" priority="112" stopIfTrue="1">
      <formula>ISERROR($C$12:$E$69)=TRUE</formula>
    </cfRule>
  </conditionalFormatting>
  <conditionalFormatting sqref="AP32:AQ32">
    <cfRule type="expression" dxfId="199" priority="111" stopIfTrue="1">
      <formula>ISERROR($C$12:$E$69)=TRUE</formula>
    </cfRule>
  </conditionalFormatting>
  <conditionalFormatting sqref="AP43:AQ46 AP38:AQ38 AP34:AQ36">
    <cfRule type="expression" dxfId="198" priority="110" stopIfTrue="1">
      <formula>ISERROR($C$12:$E$69)=TRUE</formula>
    </cfRule>
  </conditionalFormatting>
  <conditionalFormatting sqref="AP48:AQ48">
    <cfRule type="expression" dxfId="197" priority="109" stopIfTrue="1">
      <formula>ISERROR($C$12:$E$69)=TRUE</formula>
    </cfRule>
  </conditionalFormatting>
  <conditionalFormatting sqref="AP50:AQ50">
    <cfRule type="expression" dxfId="196" priority="108" stopIfTrue="1">
      <formula>ISERROR($C$12:$E$69)=TRUE</formula>
    </cfRule>
  </conditionalFormatting>
  <conditionalFormatting sqref="AP52:AQ58">
    <cfRule type="expression" dxfId="195" priority="107" stopIfTrue="1">
      <formula>ISERROR($C$12:$E$69)=TRUE</formula>
    </cfRule>
  </conditionalFormatting>
  <conditionalFormatting sqref="AP61:AQ61">
    <cfRule type="expression" dxfId="194" priority="106" stopIfTrue="1">
      <formula>ISERROR($C$12:$E$69)=TRUE</formula>
    </cfRule>
  </conditionalFormatting>
  <conditionalFormatting sqref="AP63:AQ63">
    <cfRule type="expression" dxfId="193" priority="105" stopIfTrue="1">
      <formula>ISERROR($C$12:$E$69)=TRUE</formula>
    </cfRule>
  </conditionalFormatting>
  <conditionalFormatting sqref="AP65:AQ66">
    <cfRule type="expression" dxfId="192" priority="104" stopIfTrue="1">
      <formula>ISERROR($C$12:$E$69)=TRUE</formula>
    </cfRule>
  </conditionalFormatting>
  <conditionalFormatting sqref="AP68:AQ69">
    <cfRule type="expression" dxfId="191" priority="103" stopIfTrue="1">
      <formula>ISERROR($C$12:$E$69)=TRUE</formula>
    </cfRule>
  </conditionalFormatting>
  <conditionalFormatting sqref="AV30:AW31 AV13:AW13 AV15:AW15 AV17:AW17 AV19:AW19 AV23:AW23 AV25:AW25 AV33:AW33 AV37:AW37 AV39:AW42 AV47:AW47 AV49:AW49 AV51:AW51 AV59:AW60 AV62:AW62 AV64:AW64 AV67:AW67 AV11:AW11">
    <cfRule type="expression" dxfId="190" priority="102" stopIfTrue="1">
      <formula>ISERROR($C$12:$E$69)=TRUE</formula>
    </cfRule>
  </conditionalFormatting>
  <conditionalFormatting sqref="AV14:AW14">
    <cfRule type="expression" dxfId="189" priority="101" stopIfTrue="1">
      <formula>ISERROR($C$12:$E$69)=TRUE</formula>
    </cfRule>
  </conditionalFormatting>
  <conditionalFormatting sqref="AV16:AW16">
    <cfRule type="expression" dxfId="188" priority="100" stopIfTrue="1">
      <formula>ISERROR($C$12:$E$69)=TRUE</formula>
    </cfRule>
  </conditionalFormatting>
  <conditionalFormatting sqref="AV12:AW12">
    <cfRule type="expression" dxfId="187" priority="99" stopIfTrue="1">
      <formula>ISERROR($C$12:$E$69)=TRUE</formula>
    </cfRule>
  </conditionalFormatting>
  <conditionalFormatting sqref="AV18:AW18">
    <cfRule type="expression" dxfId="186" priority="98" stopIfTrue="1">
      <formula>ISERROR($C$12:$E$69)=TRUE</formula>
    </cfRule>
  </conditionalFormatting>
  <conditionalFormatting sqref="AV20:AW22">
    <cfRule type="expression" dxfId="185" priority="97" stopIfTrue="1">
      <formula>ISERROR($C$12:$E$69)=TRUE</formula>
    </cfRule>
  </conditionalFormatting>
  <conditionalFormatting sqref="AV26:AW29">
    <cfRule type="expression" dxfId="184" priority="96" stopIfTrue="1">
      <formula>ISERROR($C$12:$E$69)=TRUE</formula>
    </cfRule>
  </conditionalFormatting>
  <conditionalFormatting sqref="AV24:AW24">
    <cfRule type="expression" dxfId="183" priority="95" stopIfTrue="1">
      <formula>ISERROR($C$12:$E$69)=TRUE</formula>
    </cfRule>
  </conditionalFormatting>
  <conditionalFormatting sqref="AV32:AW32">
    <cfRule type="expression" dxfId="182" priority="94" stopIfTrue="1">
      <formula>ISERROR($C$12:$E$69)=TRUE</formula>
    </cfRule>
  </conditionalFormatting>
  <conditionalFormatting sqref="AV43:AW46 AV38:AW38 AV34:AW36">
    <cfRule type="expression" dxfId="181" priority="93" stopIfTrue="1">
      <formula>ISERROR($C$12:$E$69)=TRUE</formula>
    </cfRule>
  </conditionalFormatting>
  <conditionalFormatting sqref="AV48:AW48">
    <cfRule type="expression" dxfId="180" priority="92" stopIfTrue="1">
      <formula>ISERROR($C$12:$E$69)=TRUE</formula>
    </cfRule>
  </conditionalFormatting>
  <conditionalFormatting sqref="AV50:AW50">
    <cfRule type="expression" dxfId="179" priority="91" stopIfTrue="1">
      <formula>ISERROR($C$12:$E$69)=TRUE</formula>
    </cfRule>
  </conditionalFormatting>
  <conditionalFormatting sqref="AV52:AW58">
    <cfRule type="expression" dxfId="178" priority="90" stopIfTrue="1">
      <formula>ISERROR($C$12:$E$69)=TRUE</formula>
    </cfRule>
  </conditionalFormatting>
  <conditionalFormatting sqref="AV61:AW61">
    <cfRule type="expression" dxfId="177" priority="89" stopIfTrue="1">
      <formula>ISERROR($C$12:$E$69)=TRUE</formula>
    </cfRule>
  </conditionalFormatting>
  <conditionalFormatting sqref="AV63:AW63">
    <cfRule type="expression" dxfId="176" priority="88" stopIfTrue="1">
      <formula>ISERROR($C$12:$E$69)=TRUE</formula>
    </cfRule>
  </conditionalFormatting>
  <conditionalFormatting sqref="AV65:AW66">
    <cfRule type="expression" dxfId="175" priority="87" stopIfTrue="1">
      <formula>ISERROR($C$12:$E$69)=TRUE</formula>
    </cfRule>
  </conditionalFormatting>
  <conditionalFormatting sqref="AV68:AW69">
    <cfRule type="expression" dxfId="174" priority="86" stopIfTrue="1">
      <formula>ISERROR($C$12:$E$69)=TRUE</formula>
    </cfRule>
  </conditionalFormatting>
  <conditionalFormatting sqref="BB30:BC31 BB13:BC13 BB15:BC15 BB17:BC17 BB19:BC19 BB23:BC23 BB25:BC25 BB33:BC33 BB37:BC37 BB39:BC42 BB47:BC47 BB49:BC49 BB51:BC51 BB59:BC60 BB62:BC62 BB64:BC64 BB67:BC67 BB11:BC11">
    <cfRule type="expression" dxfId="173" priority="85" stopIfTrue="1">
      <formula>ISERROR($C$12:$E$69)=TRUE</formula>
    </cfRule>
  </conditionalFormatting>
  <conditionalFormatting sqref="BB14:BC14">
    <cfRule type="expression" dxfId="172" priority="84" stopIfTrue="1">
      <formula>ISERROR($C$12:$E$69)=TRUE</formula>
    </cfRule>
  </conditionalFormatting>
  <conditionalFormatting sqref="BB16:BC16">
    <cfRule type="expression" dxfId="171" priority="83" stopIfTrue="1">
      <formula>ISERROR($C$12:$E$69)=TRUE</formula>
    </cfRule>
  </conditionalFormatting>
  <conditionalFormatting sqref="BB12:BC12">
    <cfRule type="expression" dxfId="170" priority="82" stopIfTrue="1">
      <formula>ISERROR($C$12:$E$69)=TRUE</formula>
    </cfRule>
  </conditionalFormatting>
  <conditionalFormatting sqref="BB18:BC18">
    <cfRule type="expression" dxfId="169" priority="81" stopIfTrue="1">
      <formula>ISERROR($C$12:$E$69)=TRUE</formula>
    </cfRule>
  </conditionalFormatting>
  <conditionalFormatting sqref="BB20:BC22">
    <cfRule type="expression" dxfId="168" priority="80" stopIfTrue="1">
      <formula>ISERROR($C$12:$E$69)=TRUE</formula>
    </cfRule>
  </conditionalFormatting>
  <conditionalFormatting sqref="BB26:BC29">
    <cfRule type="expression" dxfId="167" priority="79" stopIfTrue="1">
      <formula>ISERROR($C$12:$E$69)=TRUE</formula>
    </cfRule>
  </conditionalFormatting>
  <conditionalFormatting sqref="BB24:BC24">
    <cfRule type="expression" dxfId="166" priority="78" stopIfTrue="1">
      <formula>ISERROR($C$12:$E$69)=TRUE</formula>
    </cfRule>
  </conditionalFormatting>
  <conditionalFormatting sqref="BB32:BC32">
    <cfRule type="expression" dxfId="165" priority="77" stopIfTrue="1">
      <formula>ISERROR($C$12:$E$69)=TRUE</formula>
    </cfRule>
  </conditionalFormatting>
  <conditionalFormatting sqref="BB43:BC46 BB38:BC38 BB34:BC36">
    <cfRule type="expression" dxfId="164" priority="76" stopIfTrue="1">
      <formula>ISERROR($C$12:$E$69)=TRUE</formula>
    </cfRule>
  </conditionalFormatting>
  <conditionalFormatting sqref="BB48:BC48">
    <cfRule type="expression" dxfId="163" priority="75" stopIfTrue="1">
      <formula>ISERROR($C$12:$E$69)=TRUE</formula>
    </cfRule>
  </conditionalFormatting>
  <conditionalFormatting sqref="BB50:BC50">
    <cfRule type="expression" dxfId="162" priority="74" stopIfTrue="1">
      <formula>ISERROR($C$12:$E$69)=TRUE</formula>
    </cfRule>
  </conditionalFormatting>
  <conditionalFormatting sqref="BB52:BC58">
    <cfRule type="expression" dxfId="161" priority="73" stopIfTrue="1">
      <formula>ISERROR($C$12:$E$69)=TRUE</formula>
    </cfRule>
  </conditionalFormatting>
  <conditionalFormatting sqref="BB61:BC61">
    <cfRule type="expression" dxfId="160" priority="72" stopIfTrue="1">
      <formula>ISERROR($C$12:$E$69)=TRUE</formula>
    </cfRule>
  </conditionalFormatting>
  <conditionalFormatting sqref="BB63:BC63">
    <cfRule type="expression" dxfId="159" priority="71" stopIfTrue="1">
      <formula>ISERROR($C$12:$E$69)=TRUE</formula>
    </cfRule>
  </conditionalFormatting>
  <conditionalFormatting sqref="BB65:BC66">
    <cfRule type="expression" dxfId="158" priority="70" stopIfTrue="1">
      <formula>ISERROR($C$12:$E$69)=TRUE</formula>
    </cfRule>
  </conditionalFormatting>
  <conditionalFormatting sqref="BB68:BC69">
    <cfRule type="expression" dxfId="157" priority="69" stopIfTrue="1">
      <formula>ISERROR($C$12:$E$69)=TRUE</formula>
    </cfRule>
  </conditionalFormatting>
  <conditionalFormatting sqref="BH30:BI31 BH13:BI13 BH15:BI15 BH17:BI17 BH19:BI19 BH23:BI23 BH25:BI25 BH33:BI33 BH37:BI37 BH39:BI42 BH47:BI47 BH49:BI49 BH51:BI51 BH59:BI60 BH62:BI62 BH64:BI64 BH67:BI67 BH11:BI11">
    <cfRule type="expression" dxfId="156" priority="68" stopIfTrue="1">
      <formula>ISERROR($C$12:$E$69)=TRUE</formula>
    </cfRule>
  </conditionalFormatting>
  <conditionalFormatting sqref="BH14:BI14">
    <cfRule type="expression" dxfId="155" priority="67" stopIfTrue="1">
      <formula>ISERROR($C$12:$E$69)=TRUE</formula>
    </cfRule>
  </conditionalFormatting>
  <conditionalFormatting sqref="BH16:BI16">
    <cfRule type="expression" dxfId="154" priority="66" stopIfTrue="1">
      <formula>ISERROR($C$12:$E$69)=TRUE</formula>
    </cfRule>
  </conditionalFormatting>
  <conditionalFormatting sqref="BH12:BI12">
    <cfRule type="expression" dxfId="153" priority="65" stopIfTrue="1">
      <formula>ISERROR($C$12:$E$69)=TRUE</formula>
    </cfRule>
  </conditionalFormatting>
  <conditionalFormatting sqref="BH18:BI18">
    <cfRule type="expression" dxfId="152" priority="64" stopIfTrue="1">
      <formula>ISERROR($C$12:$E$69)=TRUE</formula>
    </cfRule>
  </conditionalFormatting>
  <conditionalFormatting sqref="BH20:BI22">
    <cfRule type="expression" dxfId="151" priority="63" stopIfTrue="1">
      <formula>ISERROR($C$12:$E$69)=TRUE</formula>
    </cfRule>
  </conditionalFormatting>
  <conditionalFormatting sqref="BH26:BI29">
    <cfRule type="expression" dxfId="150" priority="62" stopIfTrue="1">
      <formula>ISERROR($C$12:$E$69)=TRUE</formula>
    </cfRule>
  </conditionalFormatting>
  <conditionalFormatting sqref="BH24:BI24">
    <cfRule type="expression" dxfId="149" priority="61" stopIfTrue="1">
      <formula>ISERROR($C$12:$E$69)=TRUE</formula>
    </cfRule>
  </conditionalFormatting>
  <conditionalFormatting sqref="BH32:BI32">
    <cfRule type="expression" dxfId="148" priority="60" stopIfTrue="1">
      <formula>ISERROR($C$12:$E$69)=TRUE</formula>
    </cfRule>
  </conditionalFormatting>
  <conditionalFormatting sqref="BH43:BI46 BH38:BI38 BH34:BI36">
    <cfRule type="expression" dxfId="147" priority="59" stopIfTrue="1">
      <formula>ISERROR($C$12:$E$69)=TRUE</formula>
    </cfRule>
  </conditionalFormatting>
  <conditionalFormatting sqref="BH48:BI48">
    <cfRule type="expression" dxfId="146" priority="58" stopIfTrue="1">
      <formula>ISERROR($C$12:$E$69)=TRUE</formula>
    </cfRule>
  </conditionalFormatting>
  <conditionalFormatting sqref="BH50:BI50">
    <cfRule type="expression" dxfId="145" priority="57" stopIfTrue="1">
      <formula>ISERROR($C$12:$E$69)=TRUE</formula>
    </cfRule>
  </conditionalFormatting>
  <conditionalFormatting sqref="BH52:BI58">
    <cfRule type="expression" dxfId="144" priority="56" stopIfTrue="1">
      <formula>ISERROR($C$12:$E$69)=TRUE</formula>
    </cfRule>
  </conditionalFormatting>
  <conditionalFormatting sqref="BH61:BI61">
    <cfRule type="expression" dxfId="143" priority="55" stopIfTrue="1">
      <formula>ISERROR($C$12:$E$69)=TRUE</formula>
    </cfRule>
  </conditionalFormatting>
  <conditionalFormatting sqref="BH63:BI63">
    <cfRule type="expression" dxfId="142" priority="54" stopIfTrue="1">
      <formula>ISERROR($C$12:$E$69)=TRUE</formula>
    </cfRule>
  </conditionalFormatting>
  <conditionalFormatting sqref="BH65:BI66">
    <cfRule type="expression" dxfId="141" priority="53" stopIfTrue="1">
      <formula>ISERROR($C$12:$E$69)=TRUE</formula>
    </cfRule>
  </conditionalFormatting>
  <conditionalFormatting sqref="BH68:BI69">
    <cfRule type="expression" dxfId="140" priority="52" stopIfTrue="1">
      <formula>ISERROR($C$12:$E$69)=TRUE</formula>
    </cfRule>
  </conditionalFormatting>
  <conditionalFormatting sqref="BN30:BO31 BN13:BO13 BN15:BO15 BN17:BO17 BN19:BO19 BN23:BO23 BN25:BO25 BN33:BO33 BN37:BO37 BN39:BO42 BN47:BO47 BN49:BO49 BN51:BO51 BN59:BO60 BN62:BO62 BN64:BO64 BN67:BO67 BN11:BO11">
    <cfRule type="expression" dxfId="139" priority="51" stopIfTrue="1">
      <formula>ISERROR($C$12:$E$69)=TRUE</formula>
    </cfRule>
  </conditionalFormatting>
  <conditionalFormatting sqref="BN14:BO14">
    <cfRule type="expression" dxfId="138" priority="50" stopIfTrue="1">
      <formula>ISERROR($C$12:$E$69)=TRUE</formula>
    </cfRule>
  </conditionalFormatting>
  <conditionalFormatting sqref="BN16:BO16">
    <cfRule type="expression" dxfId="137" priority="49" stopIfTrue="1">
      <formula>ISERROR($C$12:$E$69)=TRUE</formula>
    </cfRule>
  </conditionalFormatting>
  <conditionalFormatting sqref="BN12:BO12">
    <cfRule type="expression" dxfId="136" priority="48" stopIfTrue="1">
      <formula>ISERROR($C$12:$E$69)=TRUE</formula>
    </cfRule>
  </conditionalFormatting>
  <conditionalFormatting sqref="BN18:BO18">
    <cfRule type="expression" dxfId="135" priority="47" stopIfTrue="1">
      <formula>ISERROR($C$12:$E$69)=TRUE</formula>
    </cfRule>
  </conditionalFormatting>
  <conditionalFormatting sqref="BN20:BO22">
    <cfRule type="expression" dxfId="134" priority="46" stopIfTrue="1">
      <formula>ISERROR($C$12:$E$69)=TRUE</formula>
    </cfRule>
  </conditionalFormatting>
  <conditionalFormatting sqref="BN26:BO29">
    <cfRule type="expression" dxfId="133" priority="45" stopIfTrue="1">
      <formula>ISERROR($C$12:$E$69)=TRUE</formula>
    </cfRule>
  </conditionalFormatting>
  <conditionalFormatting sqref="BN24:BO24">
    <cfRule type="expression" dxfId="132" priority="44" stopIfTrue="1">
      <formula>ISERROR($C$12:$E$69)=TRUE</formula>
    </cfRule>
  </conditionalFormatting>
  <conditionalFormatting sqref="BN32:BO32">
    <cfRule type="expression" dxfId="131" priority="43" stopIfTrue="1">
      <formula>ISERROR($C$12:$E$69)=TRUE</formula>
    </cfRule>
  </conditionalFormatting>
  <conditionalFormatting sqref="BN43:BO46 BN38:BO38 BN34:BO36">
    <cfRule type="expression" dxfId="130" priority="42" stopIfTrue="1">
      <formula>ISERROR($C$12:$E$69)=TRUE</formula>
    </cfRule>
  </conditionalFormatting>
  <conditionalFormatting sqref="BN48:BO48">
    <cfRule type="expression" dxfId="129" priority="41" stopIfTrue="1">
      <formula>ISERROR($C$12:$E$69)=TRUE</formula>
    </cfRule>
  </conditionalFormatting>
  <conditionalFormatting sqref="BN50:BO50">
    <cfRule type="expression" dxfId="128" priority="40" stopIfTrue="1">
      <formula>ISERROR($C$12:$E$69)=TRUE</formula>
    </cfRule>
  </conditionalFormatting>
  <conditionalFormatting sqref="BN52:BO58">
    <cfRule type="expression" dxfId="127" priority="39" stopIfTrue="1">
      <formula>ISERROR($C$12:$E$69)=TRUE</formula>
    </cfRule>
  </conditionalFormatting>
  <conditionalFormatting sqref="BN61:BO61">
    <cfRule type="expression" dxfId="126" priority="38" stopIfTrue="1">
      <formula>ISERROR($C$12:$E$69)=TRUE</formula>
    </cfRule>
  </conditionalFormatting>
  <conditionalFormatting sqref="BN63:BO63">
    <cfRule type="expression" dxfId="125" priority="37" stopIfTrue="1">
      <formula>ISERROR($C$12:$E$69)=TRUE</formula>
    </cfRule>
  </conditionalFormatting>
  <conditionalFormatting sqref="BN65:BO66">
    <cfRule type="expression" dxfId="124" priority="36" stopIfTrue="1">
      <formula>ISERROR($C$12:$E$69)=TRUE</formula>
    </cfRule>
  </conditionalFormatting>
  <conditionalFormatting sqref="BN68:BO69">
    <cfRule type="expression" dxfId="123" priority="35" stopIfTrue="1">
      <formula>ISERROR($C$12:$E$69)=TRUE</formula>
    </cfRule>
  </conditionalFormatting>
  <conditionalFormatting sqref="BT30:BU31 BT13:BU13 BT15:BU15 BT17:BU17 BT19:BU19 BT23:BU23 BT25:BU25 BT33:BU33 BT37:BU37 BT39:BU42 BT47:BU47 BT49:BU49 BT51:BU51 BT59:BU60 BT62:BU62 BT64:BU64 BT67:BU67 BT11:BU11">
    <cfRule type="expression" dxfId="122" priority="34" stopIfTrue="1">
      <formula>ISERROR($C$12:$E$69)=TRUE</formula>
    </cfRule>
  </conditionalFormatting>
  <conditionalFormatting sqref="BT14:BU14">
    <cfRule type="expression" dxfId="121" priority="33" stopIfTrue="1">
      <formula>ISERROR($C$12:$E$69)=TRUE</formula>
    </cfRule>
  </conditionalFormatting>
  <conditionalFormatting sqref="BT16:BU16">
    <cfRule type="expression" dxfId="120" priority="32" stopIfTrue="1">
      <formula>ISERROR($C$12:$E$69)=TRUE</formula>
    </cfRule>
  </conditionalFormatting>
  <conditionalFormatting sqref="BT12:BU12">
    <cfRule type="expression" dxfId="119" priority="31" stopIfTrue="1">
      <formula>ISERROR($C$12:$E$69)=TRUE</formula>
    </cfRule>
  </conditionalFormatting>
  <conditionalFormatting sqref="BT18:BU18">
    <cfRule type="expression" dxfId="118" priority="30" stopIfTrue="1">
      <formula>ISERROR($C$12:$E$69)=TRUE</formula>
    </cfRule>
  </conditionalFormatting>
  <conditionalFormatting sqref="BT20:BU22">
    <cfRule type="expression" dxfId="117" priority="29" stopIfTrue="1">
      <formula>ISERROR($C$12:$E$69)=TRUE</formula>
    </cfRule>
  </conditionalFormatting>
  <conditionalFormatting sqref="BT26:BU29">
    <cfRule type="expression" dxfId="116" priority="28" stopIfTrue="1">
      <formula>ISERROR($C$12:$E$69)=TRUE</formula>
    </cfRule>
  </conditionalFormatting>
  <conditionalFormatting sqref="BT24:BU24">
    <cfRule type="expression" dxfId="115" priority="27" stopIfTrue="1">
      <formula>ISERROR($C$12:$E$69)=TRUE</formula>
    </cfRule>
  </conditionalFormatting>
  <conditionalFormatting sqref="BT32:BU32">
    <cfRule type="expression" dxfId="114" priority="26" stopIfTrue="1">
      <formula>ISERROR($C$12:$E$69)=TRUE</formula>
    </cfRule>
  </conditionalFormatting>
  <conditionalFormatting sqref="BT43:BU46 BT38:BU38 BT34:BU36">
    <cfRule type="expression" dxfId="113" priority="25" stopIfTrue="1">
      <formula>ISERROR($C$12:$E$69)=TRUE</formula>
    </cfRule>
  </conditionalFormatting>
  <conditionalFormatting sqref="BT48:BU48">
    <cfRule type="expression" dxfId="112" priority="24" stopIfTrue="1">
      <formula>ISERROR($C$12:$E$69)=TRUE</formula>
    </cfRule>
  </conditionalFormatting>
  <conditionalFormatting sqref="BT50:BU50">
    <cfRule type="expression" dxfId="111" priority="23" stopIfTrue="1">
      <formula>ISERROR($C$12:$E$69)=TRUE</formula>
    </cfRule>
  </conditionalFormatting>
  <conditionalFormatting sqref="BT52:BU58">
    <cfRule type="expression" dxfId="110" priority="22" stopIfTrue="1">
      <formula>ISERROR($C$12:$E$69)=TRUE</formula>
    </cfRule>
  </conditionalFormatting>
  <conditionalFormatting sqref="BT61:BU61">
    <cfRule type="expression" dxfId="109" priority="21" stopIfTrue="1">
      <formula>ISERROR($C$12:$E$69)=TRUE</formula>
    </cfRule>
  </conditionalFormatting>
  <conditionalFormatting sqref="BT63:BU63">
    <cfRule type="expression" dxfId="108" priority="20" stopIfTrue="1">
      <formula>ISERROR($C$12:$E$69)=TRUE</formula>
    </cfRule>
  </conditionalFormatting>
  <conditionalFormatting sqref="BT65:BU66">
    <cfRule type="expression" dxfId="107" priority="19" stopIfTrue="1">
      <formula>ISERROR($C$12:$E$69)=TRUE</formula>
    </cfRule>
  </conditionalFormatting>
  <conditionalFormatting sqref="BT68:BU69">
    <cfRule type="expression" dxfId="106" priority="18" stopIfTrue="1">
      <formula>ISERROR($C$12:$E$69)=TRUE</formula>
    </cfRule>
  </conditionalFormatting>
  <conditionalFormatting sqref="BE30:BF31 BE13:BF13 BE15:BF15 BE17:BF17 BE19:BF19 BE23:BF23 BE25:BF25 BE33:BF33 BE37:BF37 BE39:BF42 BE47:BF47 BE49:BF49 BE51:BF51 BE59:BF60 BE62:BF62 BE64:BF64 BE67:BF67 BE11:BF11">
    <cfRule type="expression" dxfId="33" priority="17" stopIfTrue="1">
      <formula>ISERROR($C$12:$E$69)=TRUE</formula>
    </cfRule>
  </conditionalFormatting>
  <conditionalFormatting sqref="BE14:BF14">
    <cfRule type="expression" dxfId="31" priority="16" stopIfTrue="1">
      <formula>ISERROR($C$12:$E$69)=TRUE</formula>
    </cfRule>
  </conditionalFormatting>
  <conditionalFormatting sqref="BE16:BF16">
    <cfRule type="expression" dxfId="29" priority="15" stopIfTrue="1">
      <formula>ISERROR($C$12:$E$69)=TRUE</formula>
    </cfRule>
  </conditionalFormatting>
  <conditionalFormatting sqref="BE12:BF12">
    <cfRule type="expression" dxfId="27" priority="14" stopIfTrue="1">
      <formula>ISERROR($C$12:$E$69)=TRUE</formula>
    </cfRule>
  </conditionalFormatting>
  <conditionalFormatting sqref="BE18:BF18">
    <cfRule type="expression" dxfId="25" priority="13" stopIfTrue="1">
      <formula>ISERROR($C$12:$E$69)=TRUE</formula>
    </cfRule>
  </conditionalFormatting>
  <conditionalFormatting sqref="BE20:BF22">
    <cfRule type="expression" dxfId="23" priority="12" stopIfTrue="1">
      <formula>ISERROR($C$12:$E$69)=TRUE</formula>
    </cfRule>
  </conditionalFormatting>
  <conditionalFormatting sqref="BE26:BF29">
    <cfRule type="expression" dxfId="21" priority="11" stopIfTrue="1">
      <formula>ISERROR($C$12:$E$69)=TRUE</formula>
    </cfRule>
  </conditionalFormatting>
  <conditionalFormatting sqref="BE24:BF24">
    <cfRule type="expression" dxfId="19" priority="10" stopIfTrue="1">
      <formula>ISERROR($C$12:$E$69)=TRUE</formula>
    </cfRule>
  </conditionalFormatting>
  <conditionalFormatting sqref="BE32:BF32">
    <cfRule type="expression" dxfId="17" priority="9" stopIfTrue="1">
      <formula>ISERROR($C$12:$E$69)=TRUE</formula>
    </cfRule>
  </conditionalFormatting>
  <conditionalFormatting sqref="BE43:BF46 BE38:BF38 BE34:BF36">
    <cfRule type="expression" dxfId="15" priority="8" stopIfTrue="1">
      <formula>ISERROR($C$12:$E$69)=TRUE</formula>
    </cfRule>
  </conditionalFormatting>
  <conditionalFormatting sqref="BE48:BF48">
    <cfRule type="expression" dxfId="13" priority="7" stopIfTrue="1">
      <formula>ISERROR($C$12:$E$69)=TRUE</formula>
    </cfRule>
  </conditionalFormatting>
  <conditionalFormatting sqref="BE50:BF50">
    <cfRule type="expression" dxfId="11" priority="6" stopIfTrue="1">
      <formula>ISERROR($C$12:$E$69)=TRUE</formula>
    </cfRule>
  </conditionalFormatting>
  <conditionalFormatting sqref="BE52:BF58">
    <cfRule type="expression" dxfId="9" priority="5" stopIfTrue="1">
      <formula>ISERROR($C$12:$E$69)=TRUE</formula>
    </cfRule>
  </conditionalFormatting>
  <conditionalFormatting sqref="BE61:BF61">
    <cfRule type="expression" dxfId="7" priority="4" stopIfTrue="1">
      <formula>ISERROR($C$12:$E$69)=TRUE</formula>
    </cfRule>
  </conditionalFormatting>
  <conditionalFormatting sqref="BE63:BF63">
    <cfRule type="expression" dxfId="5" priority="3" stopIfTrue="1">
      <formula>ISERROR($C$12:$E$69)=TRUE</formula>
    </cfRule>
  </conditionalFormatting>
  <conditionalFormatting sqref="BE65:BF66">
    <cfRule type="expression" dxfId="3" priority="2" stopIfTrue="1">
      <formula>ISERROR($C$12:$E$69)=TRUE</formula>
    </cfRule>
  </conditionalFormatting>
  <conditionalFormatting sqref="BE68:BF69">
    <cfRule type="expression" dxfId="1" priority="1" stopIfTrue="1">
      <formula>ISERROR($C$12:$E$69)=TRUE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D77"/>
  <sheetViews>
    <sheetView zoomScaleNormal="100" workbookViewId="0">
      <pane xSplit="2" ySplit="10" topLeftCell="AY56" activePane="bottomRight" state="frozen"/>
      <selection pane="topRight"/>
      <selection pane="bottomLeft"/>
      <selection pane="bottomRight" activeCell="BB72" sqref="BB72"/>
    </sheetView>
  </sheetViews>
  <sheetFormatPr defaultRowHeight="12.75" outlineLevelRow="2" outlineLevelCol="1" x14ac:dyDescent="0.2"/>
  <cols>
    <col min="1" max="1" width="6" style="81" customWidth="1"/>
    <col min="2" max="2" width="40.85546875" style="82" customWidth="1"/>
    <col min="3" max="5" width="12.140625" style="6" hidden="1" customWidth="1" outlineLevel="1"/>
    <col min="6" max="7" width="12.140625" style="6" customWidth="1" outlineLevel="1"/>
    <col min="8" max="8" width="12.140625" style="6" customWidth="1"/>
    <col min="9" max="9" width="13.140625" style="5" hidden="1" customWidth="1" outlineLevel="1"/>
    <col min="10" max="10" width="12.140625" style="5" hidden="1" customWidth="1" outlineLevel="1"/>
    <col min="11" max="11" width="13.140625" style="5" hidden="1" customWidth="1" outlineLevel="1"/>
    <col min="12" max="12" width="13.140625" style="5" customWidth="1" outlineLevel="1"/>
    <col min="13" max="13" width="12.140625" style="5" customWidth="1" outlineLevel="1"/>
    <col min="14" max="14" width="13.140625" style="5" customWidth="1"/>
    <col min="15" max="15" width="12.140625" style="5" hidden="1" customWidth="1" outlineLevel="1"/>
    <col min="16" max="17" width="13.140625" style="5" hidden="1" customWidth="1" outlineLevel="1"/>
    <col min="18" max="18" width="13.140625" style="5" customWidth="1" outlineLevel="1"/>
    <col min="19" max="19" width="12.140625" style="5" customWidth="1" outlineLevel="1"/>
    <col min="20" max="20" width="13.140625" style="5" customWidth="1"/>
    <col min="21" max="23" width="12.140625" style="5" hidden="1" customWidth="1" outlineLevel="1"/>
    <col min="24" max="24" width="15.140625" style="5" customWidth="1" outlineLevel="1"/>
    <col min="25" max="25" width="12.140625" style="5" customWidth="1" outlineLevel="1"/>
    <col min="26" max="26" width="15.140625" style="5" customWidth="1"/>
    <col min="27" max="29" width="12.140625" style="5" hidden="1" customWidth="1" outlineLevel="1"/>
    <col min="30" max="30" width="15.140625" style="5" customWidth="1" outlineLevel="1"/>
    <col min="31" max="31" width="12.140625" style="5" customWidth="1" outlineLevel="1"/>
    <col min="32" max="32" width="15.140625" style="5" customWidth="1"/>
    <col min="33" max="35" width="12.140625" style="5" customWidth="1" outlineLevel="1"/>
    <col min="36" max="36" width="13.7109375" style="5" customWidth="1" outlineLevel="1"/>
    <col min="37" max="37" width="12.140625" style="5" customWidth="1" outlineLevel="1"/>
    <col min="38" max="38" width="13.140625" style="5" customWidth="1"/>
    <col min="39" max="41" width="12.140625" style="5" customWidth="1" outlineLevel="1"/>
    <col min="42" max="42" width="13.140625" style="5" customWidth="1" outlineLevel="1"/>
    <col min="43" max="43" width="12.140625" style="5" customWidth="1" outlineLevel="1"/>
    <col min="44" max="44" width="13.140625" style="5" customWidth="1"/>
    <col min="45" max="46" width="12.140625" style="5" customWidth="1" outlineLevel="1"/>
    <col min="47" max="48" width="13.140625" style="5" customWidth="1" outlineLevel="1"/>
    <col min="49" max="49" width="12.140625" style="5" customWidth="1" outlineLevel="1"/>
    <col min="50" max="50" width="13.140625" style="5" customWidth="1"/>
    <col min="51" max="53" width="12.140625" style="5" customWidth="1" outlineLevel="1"/>
    <col min="54" max="54" width="13.140625" style="5" customWidth="1" outlineLevel="1"/>
    <col min="55" max="55" width="12.140625" style="5" customWidth="1" outlineLevel="1"/>
    <col min="56" max="56" width="15.140625" style="5" customWidth="1"/>
    <col min="57" max="59" width="12.140625" style="5" customWidth="1" outlineLevel="1"/>
    <col min="60" max="60" width="15.140625" style="5" hidden="1" customWidth="1" outlineLevel="1"/>
    <col min="61" max="61" width="12.140625" style="5" hidden="1" customWidth="1" outlineLevel="1"/>
    <col min="62" max="62" width="15.140625" style="5" hidden="1" customWidth="1"/>
    <col min="63" max="64" width="12.140625" style="5" hidden="1" customWidth="1" outlineLevel="1"/>
    <col min="65" max="65" width="13.140625" style="5" hidden="1" customWidth="1" outlineLevel="1"/>
    <col min="66" max="67" width="12.140625" style="5" hidden="1" customWidth="1" outlineLevel="1"/>
    <col min="68" max="68" width="13.140625" style="5" hidden="1" customWidth="1"/>
    <col min="69" max="73" width="12.140625" style="5" hidden="1" customWidth="1" outlineLevel="1"/>
    <col min="74" max="74" width="12.140625" style="5" hidden="1" customWidth="1"/>
    <col min="75" max="79" width="12.140625" style="5" hidden="1" customWidth="1" outlineLevel="1"/>
    <col min="80" max="80" width="12.140625" style="5" hidden="1" customWidth="1"/>
    <col min="81" max="81" width="10.42578125" style="15" hidden="1" customWidth="1"/>
    <col min="82" max="82" width="10" style="15" customWidth="1"/>
    <col min="83" max="16384" width="9.140625" style="15"/>
  </cols>
  <sheetData>
    <row r="1" spans="1:80" s="5" customFormat="1" ht="13.5" outlineLevel="1" x14ac:dyDescent="0.25">
      <c r="A1" s="1"/>
      <c r="B1" s="2" t="s">
        <v>0</v>
      </c>
      <c r="C1" s="3"/>
      <c r="D1" s="3"/>
      <c r="E1" s="4"/>
      <c r="F1" s="3"/>
      <c r="G1" s="3"/>
      <c r="H1" s="4"/>
    </row>
    <row r="2" spans="1:80" s="5" customFormat="1" ht="13.5" outlineLevel="1" x14ac:dyDescent="0.25">
      <c r="A2" s="1"/>
      <c r="B2" s="2" t="s">
        <v>1</v>
      </c>
      <c r="C2" s="6"/>
      <c r="D2" s="6"/>
      <c r="E2" s="4"/>
      <c r="F2" s="6"/>
      <c r="G2" s="6"/>
      <c r="H2" s="4"/>
    </row>
    <row r="3" spans="1:80" s="5" customFormat="1" ht="13.5" outlineLevel="1" x14ac:dyDescent="0.25">
      <c r="A3" s="1"/>
      <c r="B3" s="2" t="s">
        <v>2</v>
      </c>
      <c r="C3" s="6"/>
      <c r="D3" s="6"/>
      <c r="E3" s="4"/>
      <c r="F3" s="6"/>
      <c r="G3" s="6"/>
      <c r="H3" s="4"/>
    </row>
    <row r="4" spans="1:80" s="5" customFormat="1" ht="13.5" outlineLevel="1" x14ac:dyDescent="0.25">
      <c r="A4" s="7"/>
      <c r="B4" s="2" t="s">
        <v>3</v>
      </c>
      <c r="C4" s="6"/>
      <c r="D4" s="6"/>
      <c r="E4" s="4"/>
      <c r="F4" s="6"/>
      <c r="G4" s="6"/>
      <c r="H4" s="4"/>
    </row>
    <row r="5" spans="1:80" s="5" customFormat="1" ht="18" x14ac:dyDescent="0.25">
      <c r="A5" s="8" t="s">
        <v>4</v>
      </c>
      <c r="B5" s="9"/>
      <c r="C5" s="9"/>
      <c r="D5" s="9"/>
      <c r="E5" s="9"/>
      <c r="F5" s="9"/>
      <c r="G5" s="9"/>
      <c r="H5" s="9"/>
      <c r="N5" s="10"/>
      <c r="AK5" s="11"/>
      <c r="AP5" s="10"/>
      <c r="AQ5" s="10"/>
      <c r="AR5" s="10"/>
    </row>
    <row r="6" spans="1:80" x14ac:dyDescent="0.2">
      <c r="A6" s="12"/>
      <c r="B6" s="13"/>
      <c r="C6" s="14"/>
      <c r="D6" s="14"/>
      <c r="E6" s="14"/>
      <c r="F6" s="14"/>
      <c r="G6" s="14"/>
      <c r="H6" s="14"/>
      <c r="I6" s="15"/>
      <c r="J6" s="15"/>
      <c r="K6" s="15"/>
      <c r="L6" s="15"/>
      <c r="M6" s="15"/>
      <c r="N6" s="16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</row>
    <row r="7" spans="1:80" s="5" customFormat="1" ht="19.5" x14ac:dyDescent="0.2">
      <c r="A7" s="17"/>
      <c r="B7" s="18">
        <v>2025</v>
      </c>
      <c r="C7" s="185" t="s">
        <v>5</v>
      </c>
      <c r="D7" s="186"/>
      <c r="E7" s="187"/>
      <c r="F7" s="185" t="s">
        <v>5</v>
      </c>
      <c r="G7" s="186"/>
      <c r="H7" s="187"/>
      <c r="I7" s="188" t="s">
        <v>6</v>
      </c>
      <c r="J7" s="189"/>
      <c r="K7" s="190"/>
      <c r="L7" s="188" t="s">
        <v>6</v>
      </c>
      <c r="M7" s="189"/>
      <c r="N7" s="190"/>
      <c r="O7" s="191" t="s">
        <v>7</v>
      </c>
      <c r="P7" s="192"/>
      <c r="Q7" s="193"/>
      <c r="R7" s="191" t="s">
        <v>7</v>
      </c>
      <c r="S7" s="192"/>
      <c r="T7" s="193"/>
      <c r="U7" s="194" t="s">
        <v>8</v>
      </c>
      <c r="V7" s="195"/>
      <c r="W7" s="196"/>
      <c r="X7" s="194" t="s">
        <v>8</v>
      </c>
      <c r="Y7" s="195"/>
      <c r="Z7" s="196"/>
      <c r="AA7" s="185" t="s">
        <v>9</v>
      </c>
      <c r="AB7" s="186"/>
      <c r="AC7" s="187"/>
      <c r="AD7" s="185" t="s">
        <v>9</v>
      </c>
      <c r="AE7" s="186"/>
      <c r="AF7" s="187"/>
      <c r="AG7" s="188" t="s">
        <v>10</v>
      </c>
      <c r="AH7" s="189"/>
      <c r="AI7" s="190"/>
      <c r="AJ7" s="188" t="s">
        <v>10</v>
      </c>
      <c r="AK7" s="189"/>
      <c r="AL7" s="190"/>
      <c r="AM7" s="191" t="s">
        <v>11</v>
      </c>
      <c r="AN7" s="192"/>
      <c r="AO7" s="193"/>
      <c r="AP7" s="191" t="s">
        <v>11</v>
      </c>
      <c r="AQ7" s="192"/>
      <c r="AR7" s="193"/>
      <c r="AS7" s="194" t="s">
        <v>12</v>
      </c>
      <c r="AT7" s="195"/>
      <c r="AU7" s="196"/>
      <c r="AV7" s="194" t="s">
        <v>12</v>
      </c>
      <c r="AW7" s="195"/>
      <c r="AX7" s="196"/>
      <c r="AY7" s="185" t="s">
        <v>13</v>
      </c>
      <c r="AZ7" s="186"/>
      <c r="BA7" s="187"/>
      <c r="BB7" s="185" t="s">
        <v>13</v>
      </c>
      <c r="BC7" s="186"/>
      <c r="BD7" s="187"/>
      <c r="BE7" s="188" t="s">
        <v>14</v>
      </c>
      <c r="BF7" s="189"/>
      <c r="BG7" s="190"/>
      <c r="BH7" s="188" t="s">
        <v>14</v>
      </c>
      <c r="BI7" s="189"/>
      <c r="BJ7" s="190"/>
      <c r="BK7" s="191" t="s">
        <v>15</v>
      </c>
      <c r="BL7" s="192"/>
      <c r="BM7" s="193"/>
      <c r="BN7" s="191" t="s">
        <v>15</v>
      </c>
      <c r="BO7" s="192"/>
      <c r="BP7" s="193"/>
      <c r="BQ7" s="194" t="s">
        <v>16</v>
      </c>
      <c r="BR7" s="195"/>
      <c r="BS7" s="196"/>
      <c r="BT7" s="194" t="s">
        <v>16</v>
      </c>
      <c r="BU7" s="195"/>
      <c r="BV7" s="196"/>
      <c r="BW7" s="185" t="s">
        <v>17</v>
      </c>
      <c r="BX7" s="186"/>
      <c r="BY7" s="187"/>
      <c r="BZ7" s="185" t="s">
        <v>91</v>
      </c>
      <c r="CA7" s="186"/>
      <c r="CB7" s="186"/>
    </row>
    <row r="8" spans="1:80" ht="12.75" customHeight="1" x14ac:dyDescent="0.2">
      <c r="A8" s="19"/>
      <c r="B8" s="20" t="s">
        <v>18</v>
      </c>
      <c r="C8" s="21"/>
      <c r="D8" s="21"/>
      <c r="E8" s="22">
        <f>C8+D8</f>
        <v>0</v>
      </c>
      <c r="F8" s="21">
        <v>26870.519999999786</v>
      </c>
      <c r="G8" s="21">
        <v>42072</v>
      </c>
      <c r="H8" s="22">
        <f>F8+G8</f>
        <v>68942.519999999786</v>
      </c>
      <c r="I8" s="21">
        <v>6935.1499999997322</v>
      </c>
      <c r="J8" s="21">
        <v>70184</v>
      </c>
      <c r="K8" s="22">
        <f>I8+J8</f>
        <v>77119.149999999732</v>
      </c>
      <c r="L8" s="22">
        <f>F72</f>
        <v>6935.1499999997322</v>
      </c>
      <c r="M8" s="22">
        <f>G72</f>
        <v>70184</v>
      </c>
      <c r="N8" s="22">
        <f>L8+M8</f>
        <v>77119.149999999732</v>
      </c>
      <c r="O8" s="21">
        <v>17482.209999999031</v>
      </c>
      <c r="P8" s="21">
        <v>68137</v>
      </c>
      <c r="Q8" s="22">
        <f>O8+P8</f>
        <v>85619.209999999031</v>
      </c>
      <c r="R8" s="22">
        <f>L72</f>
        <v>17482.209999999031</v>
      </c>
      <c r="S8" s="22">
        <f>M72</f>
        <v>68137</v>
      </c>
      <c r="T8" s="22">
        <f>R8+S8</f>
        <v>85619.209999999031</v>
      </c>
      <c r="U8" s="21">
        <v>289848.11999999871</v>
      </c>
      <c r="V8" s="21"/>
      <c r="W8" s="22">
        <f>U8+V8</f>
        <v>289848.11999999871</v>
      </c>
      <c r="X8" s="22">
        <f>R72</f>
        <v>289848.11999999871</v>
      </c>
      <c r="Y8" s="22">
        <f>S72</f>
        <v>152076</v>
      </c>
      <c r="Z8" s="22">
        <f>X8+Y8</f>
        <v>441924.11999999871</v>
      </c>
      <c r="AA8" s="21"/>
      <c r="AB8" s="21"/>
      <c r="AC8" s="22">
        <f>AA8+AB8</f>
        <v>0</v>
      </c>
      <c r="AD8" s="22">
        <f>X72</f>
        <v>141061.94999999832</v>
      </c>
      <c r="AE8" s="22">
        <f>Y72</f>
        <v>341770</v>
      </c>
      <c r="AF8" s="22">
        <f>AD8+AE8</f>
        <v>482831.94999999832</v>
      </c>
      <c r="AG8" s="21"/>
      <c r="AH8" s="21"/>
      <c r="AI8" s="22">
        <f>AG8+AH8</f>
        <v>0</v>
      </c>
      <c r="AJ8" s="22">
        <f>AD72</f>
        <v>111938.1399999985</v>
      </c>
      <c r="AK8" s="22">
        <f>AE72</f>
        <v>499081</v>
      </c>
      <c r="AL8" s="22">
        <f>AJ8+AK8</f>
        <v>611019.1399999985</v>
      </c>
      <c r="AM8" s="21"/>
      <c r="AN8" s="21"/>
      <c r="AO8" s="22">
        <f>AM8+AN8</f>
        <v>0</v>
      </c>
      <c r="AP8" s="22">
        <f>AJ72</f>
        <v>107707.52999999886</v>
      </c>
      <c r="AQ8" s="22">
        <f>AK72</f>
        <v>445831</v>
      </c>
      <c r="AR8" s="22">
        <f>AP8+AQ8</f>
        <v>553538.52999999886</v>
      </c>
      <c r="AS8" s="21"/>
      <c r="AT8" s="21"/>
      <c r="AU8" s="22">
        <f>AS8+AT8</f>
        <v>0</v>
      </c>
      <c r="AV8" s="22">
        <f>AP72</f>
        <v>520613.38999999873</v>
      </c>
      <c r="AW8" s="22">
        <f>AQ72</f>
        <v>175836</v>
      </c>
      <c r="AX8" s="22">
        <f>AV8+AW8</f>
        <v>696449.38999999873</v>
      </c>
      <c r="AY8" s="21"/>
      <c r="AZ8" s="21"/>
      <c r="BA8" s="22">
        <f>AY8+AZ8</f>
        <v>0</v>
      </c>
      <c r="BB8" s="22">
        <f>AV72</f>
        <v>64184.559999998775</v>
      </c>
      <c r="BC8" s="22">
        <f>AW72</f>
        <v>47388</v>
      </c>
      <c r="BD8" s="22">
        <f>BB8+BC8</f>
        <v>111572.55999999878</v>
      </c>
      <c r="BE8" s="21"/>
      <c r="BF8" s="21"/>
      <c r="BG8" s="22">
        <f>BE8+BF8</f>
        <v>0</v>
      </c>
      <c r="BH8" s="22">
        <f>BB72</f>
        <v>341774.46999999869</v>
      </c>
      <c r="BI8" s="22">
        <f>BC72</f>
        <v>61285</v>
      </c>
      <c r="BJ8" s="22">
        <f>BH8+BI8</f>
        <v>403059.46999999869</v>
      </c>
      <c r="BK8" s="21"/>
      <c r="BL8" s="21"/>
      <c r="BM8" s="22">
        <f>BK8+BL8</f>
        <v>0</v>
      </c>
      <c r="BN8" s="22">
        <f>BH72</f>
        <v>341774.46999999869</v>
      </c>
      <c r="BO8" s="22">
        <f>BI72</f>
        <v>61285</v>
      </c>
      <c r="BP8" s="22">
        <f>BN8+BO8</f>
        <v>403059.46999999869</v>
      </c>
      <c r="BQ8" s="21"/>
      <c r="BR8" s="21"/>
      <c r="BS8" s="22">
        <f>BQ8+BR8</f>
        <v>0</v>
      </c>
      <c r="BT8" s="22">
        <f>BN72</f>
        <v>341774.46999999869</v>
      </c>
      <c r="BU8" s="22">
        <f>BO72</f>
        <v>61285</v>
      </c>
      <c r="BV8" s="22">
        <f>BT8+BU8</f>
        <v>403059.46999999869</v>
      </c>
      <c r="BW8" s="22"/>
      <c r="BX8" s="22"/>
      <c r="BY8" s="22">
        <f>BW8+BX8</f>
        <v>0</v>
      </c>
      <c r="BZ8" s="22">
        <f>F8</f>
        <v>26870.519999999786</v>
      </c>
      <c r="CA8" s="22">
        <f>G8</f>
        <v>42072</v>
      </c>
      <c r="CB8" s="22">
        <f>BZ8+CA8</f>
        <v>68942.519999999786</v>
      </c>
    </row>
    <row r="9" spans="1:80" s="5" customFormat="1" ht="15" x14ac:dyDescent="0.2">
      <c r="A9" s="23"/>
      <c r="B9" s="24"/>
      <c r="C9" s="184" t="s">
        <v>19</v>
      </c>
      <c r="D9" s="184"/>
      <c r="E9" s="184"/>
      <c r="F9" s="184" t="s">
        <v>20</v>
      </c>
      <c r="G9" s="184"/>
      <c r="H9" s="184"/>
      <c r="I9" s="184" t="s">
        <v>19</v>
      </c>
      <c r="J9" s="184"/>
      <c r="K9" s="184"/>
      <c r="L9" s="184" t="s">
        <v>20</v>
      </c>
      <c r="M9" s="184"/>
      <c r="N9" s="184"/>
      <c r="O9" s="184" t="s">
        <v>19</v>
      </c>
      <c r="P9" s="184"/>
      <c r="Q9" s="184"/>
      <c r="R9" s="184" t="s">
        <v>20</v>
      </c>
      <c r="S9" s="184"/>
      <c r="T9" s="184"/>
      <c r="U9" s="184" t="s">
        <v>19</v>
      </c>
      <c r="V9" s="184"/>
      <c r="W9" s="184"/>
      <c r="X9" s="184" t="s">
        <v>20</v>
      </c>
      <c r="Y9" s="184"/>
      <c r="Z9" s="184"/>
      <c r="AA9" s="184" t="s">
        <v>19</v>
      </c>
      <c r="AB9" s="184"/>
      <c r="AC9" s="184"/>
      <c r="AD9" s="184" t="s">
        <v>20</v>
      </c>
      <c r="AE9" s="184"/>
      <c r="AF9" s="184"/>
      <c r="AG9" s="184" t="s">
        <v>19</v>
      </c>
      <c r="AH9" s="184"/>
      <c r="AI9" s="184"/>
      <c r="AJ9" s="184" t="s">
        <v>20</v>
      </c>
      <c r="AK9" s="184"/>
      <c r="AL9" s="184"/>
      <c r="AM9" s="184" t="s">
        <v>19</v>
      </c>
      <c r="AN9" s="184"/>
      <c r="AO9" s="184"/>
      <c r="AP9" s="184" t="s">
        <v>20</v>
      </c>
      <c r="AQ9" s="184"/>
      <c r="AR9" s="184"/>
      <c r="AS9" s="184" t="s">
        <v>19</v>
      </c>
      <c r="AT9" s="184"/>
      <c r="AU9" s="184"/>
      <c r="AV9" s="184" t="s">
        <v>20</v>
      </c>
      <c r="AW9" s="184"/>
      <c r="AX9" s="184"/>
      <c r="AY9" s="184" t="s">
        <v>19</v>
      </c>
      <c r="AZ9" s="184"/>
      <c r="BA9" s="184"/>
      <c r="BB9" s="184" t="s">
        <v>20</v>
      </c>
      <c r="BC9" s="184"/>
      <c r="BD9" s="184"/>
      <c r="BE9" s="184" t="s">
        <v>19</v>
      </c>
      <c r="BF9" s="184"/>
      <c r="BG9" s="184"/>
      <c r="BH9" s="184" t="s">
        <v>20</v>
      </c>
      <c r="BI9" s="184"/>
      <c r="BJ9" s="184"/>
      <c r="BK9" s="184" t="s">
        <v>19</v>
      </c>
      <c r="BL9" s="184"/>
      <c r="BM9" s="184"/>
      <c r="BN9" s="184" t="s">
        <v>20</v>
      </c>
      <c r="BO9" s="184"/>
      <c r="BP9" s="184"/>
      <c r="BQ9" s="184" t="s">
        <v>19</v>
      </c>
      <c r="BR9" s="184"/>
      <c r="BS9" s="184"/>
      <c r="BT9" s="184" t="s">
        <v>20</v>
      </c>
      <c r="BU9" s="184"/>
      <c r="BV9" s="184"/>
      <c r="BW9" s="184" t="s">
        <v>19</v>
      </c>
      <c r="BX9" s="184"/>
      <c r="BY9" s="184"/>
      <c r="BZ9" s="184" t="s">
        <v>20</v>
      </c>
      <c r="CA9" s="184"/>
      <c r="CB9" s="184"/>
    </row>
    <row r="10" spans="1:80" s="5" customFormat="1" x14ac:dyDescent="0.2">
      <c r="A10" s="25" t="s">
        <v>21</v>
      </c>
      <c r="B10" s="26" t="s">
        <v>22</v>
      </c>
      <c r="C10" s="27" t="s">
        <v>23</v>
      </c>
      <c r="D10" s="27" t="s">
        <v>24</v>
      </c>
      <c r="E10" s="27" t="s">
        <v>25</v>
      </c>
      <c r="F10" s="27" t="s">
        <v>23</v>
      </c>
      <c r="G10" s="27" t="s">
        <v>24</v>
      </c>
      <c r="H10" s="27" t="s">
        <v>25</v>
      </c>
      <c r="I10" s="27" t="s">
        <v>23</v>
      </c>
      <c r="J10" s="27" t="s">
        <v>24</v>
      </c>
      <c r="K10" s="27" t="s">
        <v>25</v>
      </c>
      <c r="L10" s="27" t="s">
        <v>23</v>
      </c>
      <c r="M10" s="27" t="s">
        <v>24</v>
      </c>
      <c r="N10" s="27" t="s">
        <v>25</v>
      </c>
      <c r="O10" s="27" t="s">
        <v>23</v>
      </c>
      <c r="P10" s="27" t="s">
        <v>24</v>
      </c>
      <c r="Q10" s="27" t="s">
        <v>25</v>
      </c>
      <c r="R10" s="27" t="s">
        <v>23</v>
      </c>
      <c r="S10" s="27" t="s">
        <v>24</v>
      </c>
      <c r="T10" s="27" t="s">
        <v>25</v>
      </c>
      <c r="U10" s="27" t="s">
        <v>23</v>
      </c>
      <c r="V10" s="27" t="s">
        <v>24</v>
      </c>
      <c r="W10" s="27" t="s">
        <v>25</v>
      </c>
      <c r="X10" s="27" t="s">
        <v>23</v>
      </c>
      <c r="Y10" s="27" t="s">
        <v>24</v>
      </c>
      <c r="Z10" s="27" t="s">
        <v>25</v>
      </c>
      <c r="AA10" s="27" t="s">
        <v>23</v>
      </c>
      <c r="AB10" s="27" t="s">
        <v>24</v>
      </c>
      <c r="AC10" s="27" t="s">
        <v>25</v>
      </c>
      <c r="AD10" s="27" t="s">
        <v>23</v>
      </c>
      <c r="AE10" s="27" t="s">
        <v>24</v>
      </c>
      <c r="AF10" s="27" t="s">
        <v>25</v>
      </c>
      <c r="AG10" s="27" t="s">
        <v>23</v>
      </c>
      <c r="AH10" s="27" t="s">
        <v>24</v>
      </c>
      <c r="AI10" s="27" t="s">
        <v>25</v>
      </c>
      <c r="AJ10" s="27" t="s">
        <v>23</v>
      </c>
      <c r="AK10" s="27" t="s">
        <v>24</v>
      </c>
      <c r="AL10" s="27" t="s">
        <v>25</v>
      </c>
      <c r="AM10" s="27" t="s">
        <v>23</v>
      </c>
      <c r="AN10" s="27" t="s">
        <v>24</v>
      </c>
      <c r="AO10" s="27" t="s">
        <v>25</v>
      </c>
      <c r="AP10" s="27" t="s">
        <v>23</v>
      </c>
      <c r="AQ10" s="27" t="s">
        <v>24</v>
      </c>
      <c r="AR10" s="27" t="s">
        <v>25</v>
      </c>
      <c r="AS10" s="27" t="s">
        <v>23</v>
      </c>
      <c r="AT10" s="27" t="s">
        <v>24</v>
      </c>
      <c r="AU10" s="27" t="s">
        <v>25</v>
      </c>
      <c r="AV10" s="27" t="s">
        <v>23</v>
      </c>
      <c r="AW10" s="27" t="s">
        <v>24</v>
      </c>
      <c r="AX10" s="27" t="s">
        <v>25</v>
      </c>
      <c r="AY10" s="27" t="s">
        <v>23</v>
      </c>
      <c r="AZ10" s="27" t="s">
        <v>24</v>
      </c>
      <c r="BA10" s="27" t="s">
        <v>25</v>
      </c>
      <c r="BB10" s="27" t="s">
        <v>23</v>
      </c>
      <c r="BC10" s="27" t="s">
        <v>24</v>
      </c>
      <c r="BD10" s="27" t="s">
        <v>25</v>
      </c>
      <c r="BE10" s="27" t="s">
        <v>23</v>
      </c>
      <c r="BF10" s="27" t="s">
        <v>24</v>
      </c>
      <c r="BG10" s="27" t="s">
        <v>25</v>
      </c>
      <c r="BH10" s="27" t="s">
        <v>23</v>
      </c>
      <c r="BI10" s="27" t="s">
        <v>24</v>
      </c>
      <c r="BJ10" s="27" t="s">
        <v>25</v>
      </c>
      <c r="BK10" s="27" t="s">
        <v>23</v>
      </c>
      <c r="BL10" s="27" t="s">
        <v>24</v>
      </c>
      <c r="BM10" s="27" t="s">
        <v>25</v>
      </c>
      <c r="BN10" s="27" t="s">
        <v>23</v>
      </c>
      <c r="BO10" s="27" t="s">
        <v>24</v>
      </c>
      <c r="BP10" s="27" t="s">
        <v>25</v>
      </c>
      <c r="BQ10" s="27" t="s">
        <v>23</v>
      </c>
      <c r="BR10" s="27" t="s">
        <v>24</v>
      </c>
      <c r="BS10" s="27" t="s">
        <v>25</v>
      </c>
      <c r="BT10" s="27" t="s">
        <v>23</v>
      </c>
      <c r="BU10" s="27" t="s">
        <v>24</v>
      </c>
      <c r="BV10" s="27" t="s">
        <v>25</v>
      </c>
      <c r="BW10" s="27" t="s">
        <v>23</v>
      </c>
      <c r="BX10" s="27" t="s">
        <v>24</v>
      </c>
      <c r="BY10" s="27" t="s">
        <v>25</v>
      </c>
      <c r="BZ10" s="28" t="s">
        <v>23</v>
      </c>
      <c r="CA10" s="28" t="s">
        <v>24</v>
      </c>
      <c r="CB10" s="28" t="s">
        <v>25</v>
      </c>
    </row>
    <row r="11" spans="1:80" ht="15" x14ac:dyDescent="0.2">
      <c r="A11" s="29" t="s">
        <v>26</v>
      </c>
      <c r="B11" s="29"/>
      <c r="C11" s="30"/>
      <c r="D11" s="30"/>
      <c r="E11" s="31"/>
      <c r="F11" s="30"/>
      <c r="G11" s="30"/>
      <c r="H11" s="31"/>
      <c r="I11" s="30"/>
      <c r="J11" s="30"/>
      <c r="K11" s="31"/>
      <c r="L11" s="30"/>
      <c r="M11" s="30"/>
      <c r="N11" s="31"/>
      <c r="O11" s="30"/>
      <c r="P11" s="30"/>
      <c r="Q11" s="31"/>
      <c r="R11" s="30"/>
      <c r="S11" s="30"/>
      <c r="T11" s="31"/>
      <c r="U11" s="30"/>
      <c r="V11" s="30"/>
      <c r="W11" s="31"/>
      <c r="X11" s="30"/>
      <c r="Y11" s="30"/>
      <c r="Z11" s="31"/>
      <c r="AA11" s="30"/>
      <c r="AB11" s="30"/>
      <c r="AC11" s="31"/>
      <c r="AD11" s="30"/>
      <c r="AE11" s="30"/>
      <c r="AF11" s="31"/>
      <c r="AG11" s="30"/>
      <c r="AH11" s="30"/>
      <c r="AI11" s="31"/>
      <c r="AJ11" s="30"/>
      <c r="AK11" s="30"/>
      <c r="AL11" s="31"/>
      <c r="AM11" s="30"/>
      <c r="AN11" s="30"/>
      <c r="AO11" s="31"/>
      <c r="AP11" s="30"/>
      <c r="AQ11" s="30"/>
      <c r="AR11" s="31"/>
      <c r="AS11" s="30"/>
      <c r="AT11" s="30"/>
      <c r="AU11" s="31"/>
      <c r="AV11" s="30"/>
      <c r="AW11" s="30"/>
      <c r="AX11" s="31"/>
      <c r="AY11" s="30"/>
      <c r="AZ11" s="30"/>
      <c r="BA11" s="31"/>
      <c r="BB11" s="30"/>
      <c r="BC11" s="30"/>
      <c r="BD11" s="31"/>
      <c r="BE11" s="30"/>
      <c r="BF11" s="30"/>
      <c r="BG11" s="31"/>
      <c r="BH11" s="30"/>
      <c r="BI11" s="30"/>
      <c r="BJ11" s="31"/>
      <c r="BK11" s="30"/>
      <c r="BL11" s="30"/>
      <c r="BM11" s="31"/>
      <c r="BN11" s="30"/>
      <c r="BO11" s="30"/>
      <c r="BP11" s="31"/>
      <c r="BQ11" s="30"/>
      <c r="BR11" s="30"/>
      <c r="BS11" s="31"/>
      <c r="BT11" s="30"/>
      <c r="BU11" s="30"/>
      <c r="BV11" s="31"/>
      <c r="BW11" s="30"/>
      <c r="BX11" s="30"/>
      <c r="BY11" s="30"/>
      <c r="BZ11" s="32"/>
      <c r="CA11" s="32"/>
      <c r="CB11" s="32"/>
    </row>
    <row r="12" spans="1:80" outlineLevel="1" x14ac:dyDescent="0.2">
      <c r="A12" s="33">
        <v>111</v>
      </c>
      <c r="B12" s="34" t="s">
        <v>27</v>
      </c>
      <c r="C12" s="35"/>
      <c r="D12" s="35"/>
      <c r="E12" s="36">
        <f>C12+D12</f>
        <v>0</v>
      </c>
      <c r="F12" s="35"/>
      <c r="G12" s="35"/>
      <c r="H12" s="36">
        <f>F12+G12</f>
        <v>0</v>
      </c>
      <c r="I12" s="35"/>
      <c r="J12" s="35"/>
      <c r="K12" s="36">
        <f t="shared" ref="K12:K30" si="0">I12+J12</f>
        <v>0</v>
      </c>
      <c r="L12" s="35"/>
      <c r="M12" s="35"/>
      <c r="N12" s="36">
        <f t="shared" ref="N12:N30" si="1">L12+M12</f>
        <v>0</v>
      </c>
      <c r="O12" s="35"/>
      <c r="P12" s="35"/>
      <c r="Q12" s="36">
        <f t="shared" ref="Q12:Q30" si="2">O12+P12</f>
        <v>0</v>
      </c>
      <c r="R12" s="35"/>
      <c r="S12" s="35"/>
      <c r="T12" s="36">
        <f t="shared" ref="T12:T30" si="3">R12+S12</f>
        <v>0</v>
      </c>
      <c r="U12" s="35"/>
      <c r="V12" s="35"/>
      <c r="W12" s="36">
        <f t="shared" ref="W12:W30" si="4">U12+V12</f>
        <v>0</v>
      </c>
      <c r="X12" s="35"/>
      <c r="Y12" s="35"/>
      <c r="Z12" s="36">
        <f t="shared" ref="Z12:Z30" si="5">X12+Y12</f>
        <v>0</v>
      </c>
      <c r="AA12" s="35"/>
      <c r="AB12" s="35"/>
      <c r="AC12" s="36">
        <f t="shared" ref="AC12:AC30" si="6">AA12+AB12</f>
        <v>0</v>
      </c>
      <c r="AD12" s="35"/>
      <c r="AE12" s="35"/>
      <c r="AF12" s="36">
        <f t="shared" ref="AF12:AF30" si="7">AD12+AE12</f>
        <v>0</v>
      </c>
      <c r="AG12" s="35"/>
      <c r="AH12" s="35"/>
      <c r="AI12" s="36">
        <f t="shared" ref="AI12:AI30" si="8">AG12+AH12</f>
        <v>0</v>
      </c>
      <c r="AJ12" s="35"/>
      <c r="AK12" s="35"/>
      <c r="AL12" s="36">
        <f t="shared" ref="AL12:AL30" si="9">AJ12+AK12</f>
        <v>0</v>
      </c>
      <c r="AM12" s="35"/>
      <c r="AN12" s="35"/>
      <c r="AO12" s="36">
        <f t="shared" ref="AO12:AO30" si="10">AM12+AN12</f>
        <v>0</v>
      </c>
      <c r="AP12" s="35"/>
      <c r="AQ12" s="35"/>
      <c r="AR12" s="36">
        <f t="shared" ref="AR12:AR30" si="11">AP12+AQ12</f>
        <v>0</v>
      </c>
      <c r="AS12" s="35"/>
      <c r="AT12" s="35"/>
      <c r="AU12" s="36">
        <f t="shared" ref="AU12:AU30" si="12">AS12+AT12</f>
        <v>0</v>
      </c>
      <c r="AV12" s="35"/>
      <c r="AW12" s="35"/>
      <c r="AX12" s="36">
        <f t="shared" ref="AX12:AX30" si="13">AV12+AW12</f>
        <v>0</v>
      </c>
      <c r="AY12" s="35"/>
      <c r="AZ12" s="35"/>
      <c r="BA12" s="36">
        <f t="shared" ref="BA12:BA30" si="14">AY12+AZ12</f>
        <v>0</v>
      </c>
      <c r="BB12" s="35"/>
      <c r="BC12" s="35"/>
      <c r="BD12" s="36">
        <f t="shared" ref="BD12:BD30" si="15">BB12+BC12</f>
        <v>0</v>
      </c>
      <c r="BE12" s="35"/>
      <c r="BF12" s="35"/>
      <c r="BG12" s="36">
        <f t="shared" ref="BG12:BG30" si="16">BE12+BF12</f>
        <v>0</v>
      </c>
      <c r="BH12" s="35"/>
      <c r="BI12" s="35"/>
      <c r="BJ12" s="36">
        <f t="shared" ref="BJ12:BJ30" si="17">BH12+BI12</f>
        <v>0</v>
      </c>
      <c r="BK12" s="35"/>
      <c r="BL12" s="35"/>
      <c r="BM12" s="36">
        <f t="shared" ref="BM12:BM30" si="18">BK12+BL12</f>
        <v>0</v>
      </c>
      <c r="BN12" s="37"/>
      <c r="BO12" s="35"/>
      <c r="BP12" s="36">
        <f t="shared" ref="BP12:BP30" si="19">BN12+BO12</f>
        <v>0</v>
      </c>
      <c r="BQ12" s="35"/>
      <c r="BR12" s="35"/>
      <c r="BS12" s="36">
        <f t="shared" ref="BS12:BS30" si="20">BQ12+BR12</f>
        <v>0</v>
      </c>
      <c r="BT12" s="37"/>
      <c r="BU12" s="35"/>
      <c r="BV12" s="36">
        <f t="shared" ref="BV12:BV30" si="21">BT12+BU12</f>
        <v>0</v>
      </c>
      <c r="BW12" s="36">
        <f>C12+I12+O12+U12+AA12+AG12+AM12+AS12+AY12+BE12+BK12+BQ12</f>
        <v>0</v>
      </c>
      <c r="BX12" s="36">
        <f>D12+J12+P12+V12+AB12+AH12+AN12+AT12+AZ12+BF12+BL12+BR12</f>
        <v>0</v>
      </c>
      <c r="BY12" s="36">
        <f>BW12+BX12</f>
        <v>0</v>
      </c>
      <c r="BZ12" s="36">
        <f>F12+L12+R12+X12+AD12+AJ12+AP12+AV12+BB12+BH12+BN12+BT12</f>
        <v>0</v>
      </c>
      <c r="CA12" s="36">
        <f>G12+M12+S12+Y12+AE12+AK12+AQ12+AW12+BC12+BI12+BO12+BU12</f>
        <v>0</v>
      </c>
      <c r="CB12" s="36">
        <f>BZ12+CA12</f>
        <v>0</v>
      </c>
    </row>
    <row r="13" spans="1:80" s="44" customFormat="1" ht="24" outlineLevel="1" x14ac:dyDescent="0.2">
      <c r="A13" s="38"/>
      <c r="B13" s="39" t="s">
        <v>28</v>
      </c>
      <c r="C13" s="40"/>
      <c r="D13" s="40"/>
      <c r="E13" s="41">
        <f t="shared" ref="E13:E70" si="22">C13+D13</f>
        <v>0</v>
      </c>
      <c r="F13" s="40"/>
      <c r="G13" s="40"/>
      <c r="H13" s="41">
        <f>F13+G13</f>
        <v>0</v>
      </c>
      <c r="I13" s="40"/>
      <c r="J13" s="40"/>
      <c r="K13" s="41">
        <f t="shared" si="0"/>
        <v>0</v>
      </c>
      <c r="L13" s="40"/>
      <c r="M13" s="40"/>
      <c r="N13" s="41">
        <f t="shared" si="1"/>
        <v>0</v>
      </c>
      <c r="O13" s="40"/>
      <c r="P13" s="40"/>
      <c r="Q13" s="41">
        <f t="shared" si="2"/>
        <v>0</v>
      </c>
      <c r="R13" s="40"/>
      <c r="S13" s="40"/>
      <c r="T13" s="41">
        <f t="shared" si="3"/>
        <v>0</v>
      </c>
      <c r="U13" s="40"/>
      <c r="V13" s="40"/>
      <c r="W13" s="41">
        <f t="shared" si="4"/>
        <v>0</v>
      </c>
      <c r="X13" s="40"/>
      <c r="Y13" s="40"/>
      <c r="Z13" s="41">
        <f t="shared" si="5"/>
        <v>0</v>
      </c>
      <c r="AA13" s="40"/>
      <c r="AB13" s="40"/>
      <c r="AC13" s="41">
        <f t="shared" si="6"/>
        <v>0</v>
      </c>
      <c r="AD13" s="40"/>
      <c r="AE13" s="40"/>
      <c r="AF13" s="41">
        <f t="shared" si="7"/>
        <v>0</v>
      </c>
      <c r="AG13" s="40"/>
      <c r="AH13" s="40"/>
      <c r="AI13" s="41">
        <f t="shared" si="8"/>
        <v>0</v>
      </c>
      <c r="AJ13" s="40"/>
      <c r="AK13" s="40"/>
      <c r="AL13" s="41">
        <f t="shared" si="9"/>
        <v>0</v>
      </c>
      <c r="AM13" s="40"/>
      <c r="AN13" s="40"/>
      <c r="AO13" s="41">
        <f t="shared" si="10"/>
        <v>0</v>
      </c>
      <c r="AP13" s="40"/>
      <c r="AQ13" s="40"/>
      <c r="AR13" s="41">
        <f t="shared" si="11"/>
        <v>0</v>
      </c>
      <c r="AS13" s="40"/>
      <c r="AT13" s="40"/>
      <c r="AU13" s="41">
        <f t="shared" si="12"/>
        <v>0</v>
      </c>
      <c r="AV13" s="40"/>
      <c r="AW13" s="40"/>
      <c r="AX13" s="41">
        <f t="shared" si="13"/>
        <v>0</v>
      </c>
      <c r="AY13" s="40"/>
      <c r="AZ13" s="40"/>
      <c r="BA13" s="41">
        <f t="shared" si="14"/>
        <v>0</v>
      </c>
      <c r="BB13" s="40"/>
      <c r="BC13" s="40"/>
      <c r="BD13" s="41">
        <f t="shared" si="15"/>
        <v>0</v>
      </c>
      <c r="BE13" s="40"/>
      <c r="BF13" s="40"/>
      <c r="BG13" s="41">
        <f t="shared" si="16"/>
        <v>0</v>
      </c>
      <c r="BH13" s="40"/>
      <c r="BI13" s="40"/>
      <c r="BJ13" s="41">
        <f t="shared" si="17"/>
        <v>0</v>
      </c>
      <c r="BK13" s="40"/>
      <c r="BL13" s="40"/>
      <c r="BM13" s="41">
        <f t="shared" si="18"/>
        <v>0</v>
      </c>
      <c r="BN13" s="42"/>
      <c r="BO13" s="40"/>
      <c r="BP13" s="41">
        <f t="shared" si="19"/>
        <v>0</v>
      </c>
      <c r="BQ13" s="40"/>
      <c r="BR13" s="40"/>
      <c r="BS13" s="41">
        <f t="shared" si="20"/>
        <v>0</v>
      </c>
      <c r="BT13" s="40"/>
      <c r="BU13" s="40"/>
      <c r="BV13" s="41">
        <f t="shared" si="21"/>
        <v>0</v>
      </c>
      <c r="BW13" s="43">
        <f t="shared" ref="BW13:BX69" si="23">C13+I13+O13+U13+AA13+AG13+AM13+AS13+AY13+BE13+BK13+BQ13</f>
        <v>0</v>
      </c>
      <c r="BX13" s="43">
        <f t="shared" si="23"/>
        <v>0</v>
      </c>
      <c r="BY13" s="43">
        <f t="shared" ref="BY13:BY70" si="24">BW13+BX13</f>
        <v>0</v>
      </c>
      <c r="BZ13" s="43">
        <f t="shared" ref="BZ13:CA69" si="25">F13+L13+R13+X13+AD13+AJ13+AP13+AV13+BB13+BH13+BN13+BT13</f>
        <v>0</v>
      </c>
      <c r="CA13" s="43">
        <f t="shared" si="25"/>
        <v>0</v>
      </c>
      <c r="CB13" s="43">
        <f t="shared" ref="CB13:CB70" si="26">BZ13+CA13</f>
        <v>0</v>
      </c>
    </row>
    <row r="14" spans="1:80" outlineLevel="1" x14ac:dyDescent="0.2">
      <c r="A14" s="33">
        <v>112</v>
      </c>
      <c r="B14" s="34" t="s">
        <v>29</v>
      </c>
      <c r="C14" s="45"/>
      <c r="D14" s="45"/>
      <c r="E14" s="46">
        <f t="shared" si="22"/>
        <v>0</v>
      </c>
      <c r="F14" s="47">
        <v>125791.1</v>
      </c>
      <c r="G14" s="45">
        <v>2810</v>
      </c>
      <c r="H14" s="46">
        <f>F14+G14</f>
        <v>128601.1</v>
      </c>
      <c r="I14" s="45"/>
      <c r="J14" s="47"/>
      <c r="K14" s="46">
        <f t="shared" si="0"/>
        <v>0</v>
      </c>
      <c r="L14" s="45">
        <v>157034.6</v>
      </c>
      <c r="M14" s="47">
        <v>3300</v>
      </c>
      <c r="N14" s="46">
        <f t="shared" si="1"/>
        <v>160334.6</v>
      </c>
      <c r="O14" s="45">
        <v>289265.55</v>
      </c>
      <c r="P14" s="45">
        <f>76000+3400</f>
        <v>79400</v>
      </c>
      <c r="Q14" s="46">
        <f t="shared" si="2"/>
        <v>368665.55</v>
      </c>
      <c r="R14" s="45">
        <v>289265.55</v>
      </c>
      <c r="S14" s="45">
        <f>76000+3400</f>
        <v>79400</v>
      </c>
      <c r="T14" s="46">
        <f t="shared" si="3"/>
        <v>368665.55</v>
      </c>
      <c r="U14" s="45">
        <f>1182573.2+44146.24</f>
        <v>1226719.44</v>
      </c>
      <c r="V14" s="45">
        <f>1360+133998</f>
        <v>135358</v>
      </c>
      <c r="W14" s="46">
        <f t="shared" si="4"/>
        <v>1362077.44</v>
      </c>
      <c r="X14" s="47">
        <v>2466718.44</v>
      </c>
      <c r="Y14" s="45">
        <f>1360+133998</f>
        <v>135358</v>
      </c>
      <c r="Z14" s="46">
        <f t="shared" si="5"/>
        <v>2602076.44</v>
      </c>
      <c r="AA14" s="45">
        <v>1074727.54</v>
      </c>
      <c r="AB14" s="45">
        <f>29750+160</f>
        <v>29910</v>
      </c>
      <c r="AC14" s="46">
        <f t="shared" si="6"/>
        <v>1104637.54</v>
      </c>
      <c r="AD14" s="47">
        <f>60000+1014727.54</f>
        <v>1074727.54</v>
      </c>
      <c r="AE14" s="45">
        <f>29750+160</f>
        <v>29910</v>
      </c>
      <c r="AF14" s="46">
        <f t="shared" si="7"/>
        <v>1104637.54</v>
      </c>
      <c r="AG14" s="45">
        <v>2791033.33</v>
      </c>
      <c r="AH14" s="45">
        <f>16640+500+1770+240</f>
        <v>19150</v>
      </c>
      <c r="AI14" s="46">
        <f t="shared" si="8"/>
        <v>2810183.33</v>
      </c>
      <c r="AJ14" s="45">
        <v>2341033.33</v>
      </c>
      <c r="AK14" s="45">
        <f>16640+500+1770+240</f>
        <v>19150</v>
      </c>
      <c r="AL14" s="46">
        <f t="shared" si="9"/>
        <v>2360183.33</v>
      </c>
      <c r="AM14" s="45">
        <v>948545.59</v>
      </c>
      <c r="AN14" s="45">
        <v>9375</v>
      </c>
      <c r="AO14" s="46">
        <f t="shared" si="10"/>
        <v>957920.59</v>
      </c>
      <c r="AP14" s="47">
        <v>948545.59</v>
      </c>
      <c r="AQ14" s="45">
        <v>9375</v>
      </c>
      <c r="AR14" s="46">
        <f t="shared" si="11"/>
        <v>957920.59</v>
      </c>
      <c r="AS14" s="45">
        <v>264408.5</v>
      </c>
      <c r="AT14" s="45">
        <v>17302</v>
      </c>
      <c r="AU14" s="46">
        <f t="shared" si="12"/>
        <v>281710.5</v>
      </c>
      <c r="AV14" s="45">
        <v>264408.5</v>
      </c>
      <c r="AW14" s="45">
        <v>17302</v>
      </c>
      <c r="AX14" s="46">
        <f t="shared" si="13"/>
        <v>281710.5</v>
      </c>
      <c r="AY14" s="45">
        <v>1162866.5</v>
      </c>
      <c r="AZ14" s="45">
        <v>1920</v>
      </c>
      <c r="BA14" s="46">
        <f t="shared" si="14"/>
        <v>1164786.5</v>
      </c>
      <c r="BB14" s="47">
        <v>1162866.5</v>
      </c>
      <c r="BC14" s="45">
        <f>1440+480</f>
        <v>1920</v>
      </c>
      <c r="BD14" s="46">
        <f t="shared" si="15"/>
        <v>1164786.5</v>
      </c>
      <c r="BE14" s="45">
        <v>583567.42000000004</v>
      </c>
      <c r="BF14" s="45">
        <v>140808</v>
      </c>
      <c r="BG14" s="46">
        <f t="shared" si="16"/>
        <v>724375.42</v>
      </c>
      <c r="BH14" s="45"/>
      <c r="BI14" s="45"/>
      <c r="BJ14" s="46">
        <f t="shared" si="17"/>
        <v>0</v>
      </c>
      <c r="BK14" s="45"/>
      <c r="BL14" s="45"/>
      <c r="BM14" s="46">
        <f t="shared" si="18"/>
        <v>0</v>
      </c>
      <c r="BN14" s="47"/>
      <c r="BO14" s="45"/>
      <c r="BP14" s="46">
        <f t="shared" si="19"/>
        <v>0</v>
      </c>
      <c r="BQ14" s="45"/>
      <c r="BR14" s="45"/>
      <c r="BS14" s="46">
        <f t="shared" si="20"/>
        <v>0</v>
      </c>
      <c r="BT14" s="45"/>
      <c r="BU14" s="45"/>
      <c r="BV14" s="46">
        <f t="shared" si="21"/>
        <v>0</v>
      </c>
      <c r="BW14" s="36">
        <f t="shared" si="23"/>
        <v>8341133.8700000001</v>
      </c>
      <c r="BX14" s="36">
        <f t="shared" si="23"/>
        <v>433223</v>
      </c>
      <c r="BY14" s="36">
        <f t="shared" si="24"/>
        <v>8774356.870000001</v>
      </c>
      <c r="BZ14" s="36">
        <f t="shared" si="25"/>
        <v>8830391.1500000004</v>
      </c>
      <c r="CA14" s="36">
        <f t="shared" si="25"/>
        <v>298525</v>
      </c>
      <c r="CB14" s="36">
        <f t="shared" si="26"/>
        <v>9128916.1500000004</v>
      </c>
    </row>
    <row r="15" spans="1:80" s="44" customFormat="1" ht="24" outlineLevel="1" x14ac:dyDescent="0.2">
      <c r="A15" s="38"/>
      <c r="B15" s="39" t="s">
        <v>30</v>
      </c>
      <c r="C15" s="40"/>
      <c r="D15" s="40"/>
      <c r="E15" s="41">
        <f t="shared" si="22"/>
        <v>0</v>
      </c>
      <c r="F15" s="40"/>
      <c r="G15" s="40"/>
      <c r="H15" s="41">
        <f t="shared" ref="H15:H29" si="27">F15+G15</f>
        <v>0</v>
      </c>
      <c r="I15" s="40"/>
      <c r="J15" s="40"/>
      <c r="K15" s="41">
        <f t="shared" si="0"/>
        <v>0</v>
      </c>
      <c r="L15" s="40"/>
      <c r="M15" s="40"/>
      <c r="N15" s="41">
        <f t="shared" si="1"/>
        <v>0</v>
      </c>
      <c r="O15" s="40"/>
      <c r="P15" s="40"/>
      <c r="Q15" s="41">
        <f t="shared" si="2"/>
        <v>0</v>
      </c>
      <c r="R15" s="40"/>
      <c r="S15" s="40"/>
      <c r="T15" s="41">
        <f t="shared" si="3"/>
        <v>0</v>
      </c>
      <c r="U15" s="40"/>
      <c r="V15" s="40"/>
      <c r="W15" s="41">
        <f t="shared" si="4"/>
        <v>0</v>
      </c>
      <c r="X15" s="40"/>
      <c r="Y15" s="40"/>
      <c r="Z15" s="41">
        <f t="shared" si="5"/>
        <v>0</v>
      </c>
      <c r="AA15" s="40"/>
      <c r="AB15" s="40"/>
      <c r="AC15" s="41">
        <f t="shared" si="6"/>
        <v>0</v>
      </c>
      <c r="AD15" s="40"/>
      <c r="AE15" s="40"/>
      <c r="AF15" s="41">
        <f t="shared" si="7"/>
        <v>0</v>
      </c>
      <c r="AG15" s="40"/>
      <c r="AH15" s="40"/>
      <c r="AI15" s="41">
        <f t="shared" si="8"/>
        <v>0</v>
      </c>
      <c r="AJ15" s="40"/>
      <c r="AK15" s="40"/>
      <c r="AL15" s="41">
        <f t="shared" si="9"/>
        <v>0</v>
      </c>
      <c r="AM15" s="40"/>
      <c r="AN15" s="40"/>
      <c r="AO15" s="41">
        <f t="shared" si="10"/>
        <v>0</v>
      </c>
      <c r="AP15" s="42"/>
      <c r="AQ15" s="40"/>
      <c r="AR15" s="41">
        <f t="shared" si="11"/>
        <v>0</v>
      </c>
      <c r="AS15" s="40"/>
      <c r="AT15" s="40"/>
      <c r="AU15" s="41">
        <f t="shared" si="12"/>
        <v>0</v>
      </c>
      <c r="AV15" s="40"/>
      <c r="AW15" s="40"/>
      <c r="AX15" s="41">
        <f t="shared" si="13"/>
        <v>0</v>
      </c>
      <c r="AY15" s="40"/>
      <c r="AZ15" s="40"/>
      <c r="BA15" s="41">
        <f t="shared" si="14"/>
        <v>0</v>
      </c>
      <c r="BB15" s="40"/>
      <c r="BC15" s="40"/>
      <c r="BD15" s="41">
        <f t="shared" si="15"/>
        <v>0</v>
      </c>
      <c r="BE15" s="40"/>
      <c r="BF15" s="40"/>
      <c r="BG15" s="41">
        <f t="shared" si="16"/>
        <v>0</v>
      </c>
      <c r="BH15" s="40"/>
      <c r="BI15" s="40"/>
      <c r="BJ15" s="41">
        <f t="shared" si="17"/>
        <v>0</v>
      </c>
      <c r="BK15" s="40"/>
      <c r="BL15" s="40"/>
      <c r="BM15" s="41">
        <f t="shared" si="18"/>
        <v>0</v>
      </c>
      <c r="BN15" s="42"/>
      <c r="BO15" s="40"/>
      <c r="BP15" s="41">
        <f t="shared" si="19"/>
        <v>0</v>
      </c>
      <c r="BQ15" s="40"/>
      <c r="BR15" s="40"/>
      <c r="BS15" s="41">
        <f t="shared" si="20"/>
        <v>0</v>
      </c>
      <c r="BT15" s="40"/>
      <c r="BU15" s="40"/>
      <c r="BV15" s="41">
        <f t="shared" si="21"/>
        <v>0</v>
      </c>
      <c r="BW15" s="43">
        <f t="shared" si="23"/>
        <v>0</v>
      </c>
      <c r="BX15" s="43">
        <f t="shared" si="23"/>
        <v>0</v>
      </c>
      <c r="BY15" s="43">
        <f t="shared" si="24"/>
        <v>0</v>
      </c>
      <c r="BZ15" s="43">
        <f t="shared" si="25"/>
        <v>0</v>
      </c>
      <c r="CA15" s="43">
        <f t="shared" si="25"/>
        <v>0</v>
      </c>
      <c r="CB15" s="43">
        <f t="shared" si="26"/>
        <v>0</v>
      </c>
    </row>
    <row r="16" spans="1:80" outlineLevel="1" x14ac:dyDescent="0.2">
      <c r="A16" s="33">
        <v>113</v>
      </c>
      <c r="B16" s="34" t="s">
        <v>31</v>
      </c>
      <c r="C16" s="45"/>
      <c r="D16" s="45"/>
      <c r="E16" s="46">
        <f t="shared" si="22"/>
        <v>0</v>
      </c>
      <c r="F16" s="45"/>
      <c r="G16" s="45">
        <f>200000+5650+500+1410+21840</f>
        <v>229400</v>
      </c>
      <c r="H16" s="46"/>
      <c r="I16" s="45"/>
      <c r="J16" s="47"/>
      <c r="K16" s="46">
        <f t="shared" si="0"/>
        <v>0</v>
      </c>
      <c r="L16" s="45"/>
      <c r="M16" s="47">
        <f>160000+7800+650+650</f>
        <v>169100</v>
      </c>
      <c r="N16" s="46">
        <f t="shared" si="1"/>
        <v>169100</v>
      </c>
      <c r="O16" s="45"/>
      <c r="P16" s="45">
        <f>160000+12520+10590+5500</f>
        <v>188610</v>
      </c>
      <c r="Q16" s="46">
        <f t="shared" si="2"/>
        <v>188610</v>
      </c>
      <c r="R16" s="45"/>
      <c r="S16" s="45">
        <f>160000+12520+10590+5500</f>
        <v>188610</v>
      </c>
      <c r="T16" s="46">
        <f t="shared" si="3"/>
        <v>188610</v>
      </c>
      <c r="U16" s="45"/>
      <c r="V16" s="45">
        <f>160000+250000</f>
        <v>410000</v>
      </c>
      <c r="W16" s="46">
        <f t="shared" si="4"/>
        <v>410000</v>
      </c>
      <c r="X16" s="45"/>
      <c r="Y16" s="45">
        <f>160000+250000</f>
        <v>410000</v>
      </c>
      <c r="Z16" s="46">
        <f t="shared" si="5"/>
        <v>410000</v>
      </c>
      <c r="AA16" s="45"/>
      <c r="AB16" s="45">
        <f>160000+200000+100000+32000+88880+60000+21099+25641</f>
        <v>687620</v>
      </c>
      <c r="AC16" s="46">
        <f t="shared" si="6"/>
        <v>687620</v>
      </c>
      <c r="AD16" s="47"/>
      <c r="AE16" s="45">
        <f>160000+200000+100000+32000+88880+60000+21099+25641</f>
        <v>687620</v>
      </c>
      <c r="AF16" s="46">
        <f t="shared" si="7"/>
        <v>687620</v>
      </c>
      <c r="AG16" s="45"/>
      <c r="AH16" s="45">
        <f>50000+147000+42000+160000+170000+48020+24108+2100</f>
        <v>643228</v>
      </c>
      <c r="AI16" s="46">
        <f t="shared" si="8"/>
        <v>643228</v>
      </c>
      <c r="AJ16" s="45"/>
      <c r="AK16" s="45">
        <f>50000+147000+42000+160000+170000+48020+24108+2100</f>
        <v>643228</v>
      </c>
      <c r="AL16" s="46">
        <f t="shared" si="9"/>
        <v>643228</v>
      </c>
      <c r="AM16" s="45">
        <v>6600</v>
      </c>
      <c r="AN16" s="45">
        <v>222000</v>
      </c>
      <c r="AO16" s="46">
        <f t="shared" si="10"/>
        <v>228600</v>
      </c>
      <c r="AP16" s="47">
        <v>6600</v>
      </c>
      <c r="AQ16" s="45">
        <f>100000+122000</f>
        <v>222000</v>
      </c>
      <c r="AR16" s="46">
        <f t="shared" si="11"/>
        <v>228600</v>
      </c>
      <c r="AS16" s="45"/>
      <c r="AT16" s="45">
        <f>148000+134290</f>
        <v>282290</v>
      </c>
      <c r="AU16" s="46">
        <f t="shared" si="12"/>
        <v>282290</v>
      </c>
      <c r="AV16" s="45"/>
      <c r="AW16" s="45">
        <f>148000+134290</f>
        <v>282290</v>
      </c>
      <c r="AX16" s="46">
        <f t="shared" si="13"/>
        <v>282290</v>
      </c>
      <c r="AY16" s="45"/>
      <c r="AZ16" s="45">
        <f>283290</f>
        <v>283290</v>
      </c>
      <c r="BA16" s="46">
        <f t="shared" si="14"/>
        <v>283290</v>
      </c>
      <c r="BB16" s="45"/>
      <c r="BC16" s="45">
        <f>15790+167500+100000</f>
        <v>283290</v>
      </c>
      <c r="BD16" s="46">
        <f t="shared" si="15"/>
        <v>283290</v>
      </c>
      <c r="BE16" s="45"/>
      <c r="BF16" s="45">
        <v>268985</v>
      </c>
      <c r="BG16" s="46">
        <f t="shared" si="16"/>
        <v>268985</v>
      </c>
      <c r="BH16" s="45"/>
      <c r="BI16" s="45"/>
      <c r="BJ16" s="46">
        <f t="shared" si="17"/>
        <v>0</v>
      </c>
      <c r="BK16" s="45"/>
      <c r="BL16" s="45"/>
      <c r="BM16" s="46">
        <f t="shared" si="18"/>
        <v>0</v>
      </c>
      <c r="BN16" s="48"/>
      <c r="BO16" s="45"/>
      <c r="BP16" s="46">
        <f t="shared" si="19"/>
        <v>0</v>
      </c>
      <c r="BQ16" s="45"/>
      <c r="BR16" s="45"/>
      <c r="BS16" s="46">
        <f t="shared" si="20"/>
        <v>0</v>
      </c>
      <c r="BT16" s="83"/>
      <c r="BU16" s="45"/>
      <c r="BV16" s="46">
        <f t="shared" si="21"/>
        <v>0</v>
      </c>
      <c r="BW16" s="36">
        <f t="shared" si="23"/>
        <v>6600</v>
      </c>
      <c r="BX16" s="36">
        <f t="shared" si="23"/>
        <v>2986023</v>
      </c>
      <c r="BY16" s="36">
        <f t="shared" si="24"/>
        <v>2992623</v>
      </c>
      <c r="BZ16" s="36">
        <f t="shared" si="25"/>
        <v>6600</v>
      </c>
      <c r="CA16" s="36">
        <f t="shared" si="25"/>
        <v>3115538</v>
      </c>
      <c r="CB16" s="36">
        <f t="shared" si="26"/>
        <v>3122138</v>
      </c>
    </row>
    <row r="17" spans="1:82" s="44" customFormat="1" ht="24" outlineLevel="1" x14ac:dyDescent="0.2">
      <c r="A17" s="38"/>
      <c r="B17" s="39" t="s">
        <v>32</v>
      </c>
      <c r="C17" s="40"/>
      <c r="D17" s="40"/>
      <c r="E17" s="41">
        <f t="shared" si="22"/>
        <v>0</v>
      </c>
      <c r="F17" s="40"/>
      <c r="G17" s="40"/>
      <c r="H17" s="41"/>
      <c r="I17" s="40"/>
      <c r="J17" s="40"/>
      <c r="K17" s="41">
        <f t="shared" si="0"/>
        <v>0</v>
      </c>
      <c r="L17" s="40"/>
      <c r="M17" s="40"/>
      <c r="N17" s="41">
        <f t="shared" si="1"/>
        <v>0</v>
      </c>
      <c r="O17" s="40"/>
      <c r="P17" s="40"/>
      <c r="Q17" s="41">
        <f t="shared" si="2"/>
        <v>0</v>
      </c>
      <c r="R17" s="40"/>
      <c r="S17" s="40"/>
      <c r="T17" s="41">
        <f t="shared" si="3"/>
        <v>0</v>
      </c>
      <c r="U17" s="40"/>
      <c r="V17" s="40"/>
      <c r="W17" s="41">
        <f t="shared" si="4"/>
        <v>0</v>
      </c>
      <c r="X17" s="40"/>
      <c r="Y17" s="40"/>
      <c r="Z17" s="41">
        <f t="shared" si="5"/>
        <v>0</v>
      </c>
      <c r="AA17" s="40"/>
      <c r="AB17" s="40"/>
      <c r="AC17" s="41">
        <f t="shared" si="6"/>
        <v>0</v>
      </c>
      <c r="AD17" s="40"/>
      <c r="AE17" s="40"/>
      <c r="AF17" s="41">
        <f t="shared" si="7"/>
        <v>0</v>
      </c>
      <c r="AG17" s="40"/>
      <c r="AH17" s="40"/>
      <c r="AI17" s="41">
        <f t="shared" si="8"/>
        <v>0</v>
      </c>
      <c r="AJ17" s="40"/>
      <c r="AK17" s="40"/>
      <c r="AL17" s="41">
        <f t="shared" si="9"/>
        <v>0</v>
      </c>
      <c r="AM17" s="40"/>
      <c r="AN17" s="40"/>
      <c r="AO17" s="41">
        <f t="shared" si="10"/>
        <v>0</v>
      </c>
      <c r="AP17" s="40"/>
      <c r="AQ17" s="40"/>
      <c r="AR17" s="41">
        <f t="shared" si="11"/>
        <v>0</v>
      </c>
      <c r="AS17" s="40"/>
      <c r="AT17" s="40"/>
      <c r="AU17" s="41">
        <f t="shared" si="12"/>
        <v>0</v>
      </c>
      <c r="AV17" s="40"/>
      <c r="AW17" s="40"/>
      <c r="AX17" s="41">
        <f t="shared" si="13"/>
        <v>0</v>
      </c>
      <c r="AY17" s="40"/>
      <c r="AZ17" s="40"/>
      <c r="BA17" s="41">
        <f t="shared" si="14"/>
        <v>0</v>
      </c>
      <c r="BB17" s="40"/>
      <c r="BC17" s="40"/>
      <c r="BD17" s="41">
        <f t="shared" si="15"/>
        <v>0</v>
      </c>
      <c r="BE17" s="40"/>
      <c r="BF17" s="40"/>
      <c r="BG17" s="41">
        <f t="shared" si="16"/>
        <v>0</v>
      </c>
      <c r="BH17" s="40"/>
      <c r="BI17" s="40"/>
      <c r="BJ17" s="41">
        <f t="shared" si="17"/>
        <v>0</v>
      </c>
      <c r="BK17" s="40"/>
      <c r="BL17" s="40"/>
      <c r="BM17" s="41">
        <f t="shared" si="18"/>
        <v>0</v>
      </c>
      <c r="BN17" s="40"/>
      <c r="BO17" s="40"/>
      <c r="BP17" s="41">
        <f t="shared" si="19"/>
        <v>0</v>
      </c>
      <c r="BQ17" s="40"/>
      <c r="BR17" s="40"/>
      <c r="BS17" s="41">
        <f t="shared" si="20"/>
        <v>0</v>
      </c>
      <c r="BT17" s="40"/>
      <c r="BU17" s="40"/>
      <c r="BV17" s="41">
        <f t="shared" si="21"/>
        <v>0</v>
      </c>
      <c r="BW17" s="43">
        <f t="shared" si="23"/>
        <v>0</v>
      </c>
      <c r="BX17" s="43">
        <f t="shared" si="23"/>
        <v>0</v>
      </c>
      <c r="BY17" s="43">
        <f t="shared" si="24"/>
        <v>0</v>
      </c>
      <c r="BZ17" s="43">
        <f t="shared" si="25"/>
        <v>0</v>
      </c>
      <c r="CA17" s="43">
        <f t="shared" si="25"/>
        <v>0</v>
      </c>
      <c r="CB17" s="43">
        <f t="shared" si="26"/>
        <v>0</v>
      </c>
    </row>
    <row r="18" spans="1:82" outlineLevel="1" x14ac:dyDescent="0.2">
      <c r="A18" s="33">
        <v>114</v>
      </c>
      <c r="B18" s="34" t="s">
        <v>33</v>
      </c>
      <c r="C18" s="45"/>
      <c r="D18" s="45"/>
      <c r="E18" s="46">
        <f t="shared" si="22"/>
        <v>0</v>
      </c>
      <c r="F18" s="45"/>
      <c r="G18" s="45"/>
      <c r="H18" s="46">
        <f t="shared" si="27"/>
        <v>0</v>
      </c>
      <c r="I18" s="45"/>
      <c r="J18" s="45"/>
      <c r="K18" s="46">
        <f t="shared" si="0"/>
        <v>0</v>
      </c>
      <c r="L18" s="45"/>
      <c r="M18" s="45"/>
      <c r="N18" s="46">
        <f t="shared" si="1"/>
        <v>0</v>
      </c>
      <c r="O18" s="45"/>
      <c r="P18" s="45"/>
      <c r="Q18" s="46">
        <f t="shared" si="2"/>
        <v>0</v>
      </c>
      <c r="R18" s="45"/>
      <c r="S18" s="45"/>
      <c r="T18" s="46">
        <f t="shared" si="3"/>
        <v>0</v>
      </c>
      <c r="U18" s="45"/>
      <c r="V18" s="45"/>
      <c r="W18" s="46">
        <f t="shared" si="4"/>
        <v>0</v>
      </c>
      <c r="X18" s="45"/>
      <c r="Y18" s="45"/>
      <c r="Z18" s="46">
        <f t="shared" si="5"/>
        <v>0</v>
      </c>
      <c r="AA18" s="45"/>
      <c r="AB18" s="45"/>
      <c r="AC18" s="46">
        <f t="shared" si="6"/>
        <v>0</v>
      </c>
      <c r="AD18" s="45"/>
      <c r="AE18" s="45"/>
      <c r="AF18" s="46">
        <f t="shared" si="7"/>
        <v>0</v>
      </c>
      <c r="AG18" s="45"/>
      <c r="AH18" s="45"/>
      <c r="AI18" s="46">
        <f t="shared" si="8"/>
        <v>0</v>
      </c>
      <c r="AJ18" s="45"/>
      <c r="AK18" s="45"/>
      <c r="AL18" s="46">
        <f t="shared" si="9"/>
        <v>0</v>
      </c>
      <c r="AM18" s="45"/>
      <c r="AN18" s="45"/>
      <c r="AO18" s="46">
        <f t="shared" si="10"/>
        <v>0</v>
      </c>
      <c r="AP18" s="45"/>
      <c r="AQ18" s="45"/>
      <c r="AR18" s="46">
        <f t="shared" si="11"/>
        <v>0</v>
      </c>
      <c r="AS18" s="45"/>
      <c r="AT18" s="45"/>
      <c r="AU18" s="46">
        <f t="shared" si="12"/>
        <v>0</v>
      </c>
      <c r="AV18" s="45"/>
      <c r="AW18" s="45"/>
      <c r="AX18" s="46">
        <f t="shared" si="13"/>
        <v>0</v>
      </c>
      <c r="AY18" s="45"/>
      <c r="AZ18" s="45"/>
      <c r="BA18" s="46">
        <f t="shared" si="14"/>
        <v>0</v>
      </c>
      <c r="BB18" s="45"/>
      <c r="BC18" s="45"/>
      <c r="BD18" s="46">
        <f t="shared" si="15"/>
        <v>0</v>
      </c>
      <c r="BE18" s="45"/>
      <c r="BF18" s="45"/>
      <c r="BG18" s="46">
        <f t="shared" si="16"/>
        <v>0</v>
      </c>
      <c r="BH18" s="45"/>
      <c r="BI18" s="45"/>
      <c r="BJ18" s="46">
        <f t="shared" si="17"/>
        <v>0</v>
      </c>
      <c r="BK18" s="45"/>
      <c r="BL18" s="45"/>
      <c r="BM18" s="46">
        <f t="shared" si="18"/>
        <v>0</v>
      </c>
      <c r="BN18" s="45"/>
      <c r="BO18" s="45"/>
      <c r="BP18" s="46">
        <f t="shared" si="19"/>
        <v>0</v>
      </c>
      <c r="BQ18" s="45"/>
      <c r="BR18" s="45"/>
      <c r="BS18" s="46">
        <f t="shared" si="20"/>
        <v>0</v>
      </c>
      <c r="BT18" s="45"/>
      <c r="BU18" s="45"/>
      <c r="BV18" s="46">
        <f t="shared" si="21"/>
        <v>0</v>
      </c>
      <c r="BW18" s="36">
        <f t="shared" si="23"/>
        <v>0</v>
      </c>
      <c r="BX18" s="36">
        <f t="shared" si="23"/>
        <v>0</v>
      </c>
      <c r="BY18" s="36">
        <f t="shared" si="24"/>
        <v>0</v>
      </c>
      <c r="BZ18" s="36">
        <f t="shared" si="25"/>
        <v>0</v>
      </c>
      <c r="CA18" s="36">
        <f t="shared" si="25"/>
        <v>0</v>
      </c>
      <c r="CB18" s="36">
        <f t="shared" si="26"/>
        <v>0</v>
      </c>
    </row>
    <row r="19" spans="1:82" s="44" customFormat="1" ht="12" outlineLevel="1" x14ac:dyDescent="0.2">
      <c r="A19" s="38"/>
      <c r="B19" s="39" t="s">
        <v>34</v>
      </c>
      <c r="C19" s="40"/>
      <c r="D19" s="40"/>
      <c r="E19" s="41">
        <f t="shared" si="22"/>
        <v>0</v>
      </c>
      <c r="F19" s="40"/>
      <c r="G19" s="40"/>
      <c r="H19" s="41">
        <f t="shared" si="27"/>
        <v>0</v>
      </c>
      <c r="I19" s="40"/>
      <c r="J19" s="40"/>
      <c r="K19" s="41">
        <f t="shared" si="0"/>
        <v>0</v>
      </c>
      <c r="L19" s="40"/>
      <c r="M19" s="40"/>
      <c r="N19" s="41">
        <f t="shared" si="1"/>
        <v>0</v>
      </c>
      <c r="O19" s="40"/>
      <c r="P19" s="40"/>
      <c r="Q19" s="41">
        <f t="shared" si="2"/>
        <v>0</v>
      </c>
      <c r="R19" s="40"/>
      <c r="S19" s="40"/>
      <c r="T19" s="41">
        <f t="shared" si="3"/>
        <v>0</v>
      </c>
      <c r="U19" s="40"/>
      <c r="V19" s="40"/>
      <c r="W19" s="41">
        <f t="shared" si="4"/>
        <v>0</v>
      </c>
      <c r="X19" s="40"/>
      <c r="Y19" s="40"/>
      <c r="Z19" s="41">
        <f t="shared" si="5"/>
        <v>0</v>
      </c>
      <c r="AA19" s="40"/>
      <c r="AB19" s="40"/>
      <c r="AC19" s="41">
        <f t="shared" si="6"/>
        <v>0</v>
      </c>
      <c r="AD19" s="40"/>
      <c r="AE19" s="40"/>
      <c r="AF19" s="41">
        <f t="shared" si="7"/>
        <v>0</v>
      </c>
      <c r="AG19" s="40"/>
      <c r="AH19" s="40"/>
      <c r="AI19" s="41">
        <f t="shared" si="8"/>
        <v>0</v>
      </c>
      <c r="AJ19" s="40"/>
      <c r="AK19" s="40"/>
      <c r="AL19" s="41">
        <f t="shared" si="9"/>
        <v>0</v>
      </c>
      <c r="AM19" s="40"/>
      <c r="AN19" s="40"/>
      <c r="AO19" s="41">
        <f t="shared" si="10"/>
        <v>0</v>
      </c>
      <c r="AP19" s="40"/>
      <c r="AQ19" s="40"/>
      <c r="AR19" s="41">
        <f t="shared" si="11"/>
        <v>0</v>
      </c>
      <c r="AS19" s="40"/>
      <c r="AT19" s="40"/>
      <c r="AU19" s="41">
        <f t="shared" si="12"/>
        <v>0</v>
      </c>
      <c r="AV19" s="40"/>
      <c r="AW19" s="40"/>
      <c r="AX19" s="41">
        <f t="shared" si="13"/>
        <v>0</v>
      </c>
      <c r="AY19" s="40"/>
      <c r="AZ19" s="40"/>
      <c r="BA19" s="41">
        <f t="shared" si="14"/>
        <v>0</v>
      </c>
      <c r="BB19" s="40"/>
      <c r="BC19" s="40"/>
      <c r="BD19" s="41">
        <f t="shared" si="15"/>
        <v>0</v>
      </c>
      <c r="BE19" s="40"/>
      <c r="BF19" s="40"/>
      <c r="BG19" s="41">
        <f t="shared" si="16"/>
        <v>0</v>
      </c>
      <c r="BH19" s="40"/>
      <c r="BI19" s="40"/>
      <c r="BJ19" s="41">
        <f t="shared" si="17"/>
        <v>0</v>
      </c>
      <c r="BK19" s="40"/>
      <c r="BL19" s="40"/>
      <c r="BM19" s="41">
        <f t="shared" si="18"/>
        <v>0</v>
      </c>
      <c r="BN19" s="40"/>
      <c r="BO19" s="40"/>
      <c r="BP19" s="41">
        <f t="shared" si="19"/>
        <v>0</v>
      </c>
      <c r="BQ19" s="40"/>
      <c r="BR19" s="40"/>
      <c r="BS19" s="41">
        <f t="shared" si="20"/>
        <v>0</v>
      </c>
      <c r="BT19" s="40"/>
      <c r="BU19" s="40"/>
      <c r="BV19" s="41">
        <f t="shared" si="21"/>
        <v>0</v>
      </c>
      <c r="BW19" s="43">
        <f t="shared" si="23"/>
        <v>0</v>
      </c>
      <c r="BX19" s="43">
        <f t="shared" si="23"/>
        <v>0</v>
      </c>
      <c r="BY19" s="43">
        <f t="shared" si="24"/>
        <v>0</v>
      </c>
      <c r="BZ19" s="43">
        <f t="shared" si="25"/>
        <v>0</v>
      </c>
      <c r="CA19" s="43">
        <f t="shared" si="25"/>
        <v>0</v>
      </c>
      <c r="CB19" s="43">
        <f t="shared" si="26"/>
        <v>0</v>
      </c>
    </row>
    <row r="20" spans="1:82" outlineLevel="1" x14ac:dyDescent="0.2">
      <c r="A20" s="33">
        <v>115</v>
      </c>
      <c r="B20" s="49" t="s">
        <v>35</v>
      </c>
      <c r="C20" s="50"/>
      <c r="D20" s="51"/>
      <c r="E20" s="52">
        <f t="shared" si="22"/>
        <v>0</v>
      </c>
      <c r="F20" s="50"/>
      <c r="G20" s="51"/>
      <c r="H20" s="52">
        <f t="shared" si="27"/>
        <v>0</v>
      </c>
      <c r="I20" s="50"/>
      <c r="J20" s="51"/>
      <c r="K20" s="52">
        <f t="shared" si="0"/>
        <v>0</v>
      </c>
      <c r="L20" s="50"/>
      <c r="M20" s="51"/>
      <c r="N20" s="52">
        <f t="shared" si="1"/>
        <v>0</v>
      </c>
      <c r="O20" s="50"/>
      <c r="P20" s="51"/>
      <c r="Q20" s="52">
        <f t="shared" si="2"/>
        <v>0</v>
      </c>
      <c r="R20" s="50"/>
      <c r="S20" s="51"/>
      <c r="T20" s="52">
        <f t="shared" si="3"/>
        <v>0</v>
      </c>
      <c r="U20" s="50"/>
      <c r="V20" s="51"/>
      <c r="W20" s="52">
        <f t="shared" si="4"/>
        <v>0</v>
      </c>
      <c r="X20" s="50"/>
      <c r="Y20" s="51"/>
      <c r="Z20" s="52">
        <f t="shared" si="5"/>
        <v>0</v>
      </c>
      <c r="AA20" s="50">
        <f>1093.33</f>
        <v>1093.33</v>
      </c>
      <c r="AB20" s="51"/>
      <c r="AC20" s="52">
        <f t="shared" si="6"/>
        <v>1093.33</v>
      </c>
      <c r="AD20" s="50"/>
      <c r="AE20" s="51"/>
      <c r="AF20" s="52">
        <f t="shared" si="7"/>
        <v>0</v>
      </c>
      <c r="AG20" s="50"/>
      <c r="AH20" s="51"/>
      <c r="AI20" s="52">
        <f t="shared" si="8"/>
        <v>0</v>
      </c>
      <c r="AJ20" s="50"/>
      <c r="AK20" s="51"/>
      <c r="AL20" s="52">
        <f t="shared" si="9"/>
        <v>0</v>
      </c>
      <c r="AM20" s="50"/>
      <c r="AN20" s="51"/>
      <c r="AO20" s="52">
        <f t="shared" si="10"/>
        <v>0</v>
      </c>
      <c r="AP20" s="50"/>
      <c r="AQ20" s="51"/>
      <c r="AR20" s="52">
        <f t="shared" si="11"/>
        <v>0</v>
      </c>
      <c r="AS20" s="50"/>
      <c r="AT20" s="51"/>
      <c r="AU20" s="52">
        <f t="shared" si="12"/>
        <v>0</v>
      </c>
      <c r="AV20" s="50"/>
      <c r="AW20" s="51"/>
      <c r="AX20" s="52">
        <f t="shared" si="13"/>
        <v>0</v>
      </c>
      <c r="AY20" s="50"/>
      <c r="AZ20" s="51"/>
      <c r="BA20" s="52">
        <f t="shared" si="14"/>
        <v>0</v>
      </c>
      <c r="BB20" s="50"/>
      <c r="BC20" s="51"/>
      <c r="BD20" s="52">
        <f t="shared" si="15"/>
        <v>0</v>
      </c>
      <c r="BE20" s="50"/>
      <c r="BF20" s="51"/>
      <c r="BG20" s="52">
        <f t="shared" si="16"/>
        <v>0</v>
      </c>
      <c r="BH20" s="50"/>
      <c r="BI20" s="51"/>
      <c r="BJ20" s="52">
        <f t="shared" si="17"/>
        <v>0</v>
      </c>
      <c r="BK20" s="50"/>
      <c r="BL20" s="51"/>
      <c r="BM20" s="52">
        <f t="shared" si="18"/>
        <v>0</v>
      </c>
      <c r="BN20" s="50"/>
      <c r="BO20" s="51"/>
      <c r="BP20" s="52">
        <f t="shared" si="19"/>
        <v>0</v>
      </c>
      <c r="BQ20" s="50"/>
      <c r="BR20" s="51"/>
      <c r="BS20" s="52">
        <f t="shared" si="20"/>
        <v>0</v>
      </c>
      <c r="BT20" s="50"/>
      <c r="BU20" s="51"/>
      <c r="BV20" s="52">
        <f t="shared" si="21"/>
        <v>0</v>
      </c>
      <c r="BW20" s="36">
        <f t="shared" si="23"/>
        <v>1093.33</v>
      </c>
      <c r="BX20" s="36">
        <f t="shared" si="23"/>
        <v>0</v>
      </c>
      <c r="BY20" s="36">
        <f t="shared" si="24"/>
        <v>1093.33</v>
      </c>
      <c r="BZ20" s="36">
        <f t="shared" si="25"/>
        <v>0</v>
      </c>
      <c r="CA20" s="36">
        <f t="shared" si="25"/>
        <v>0</v>
      </c>
      <c r="CB20" s="36">
        <f t="shared" si="26"/>
        <v>0</v>
      </c>
    </row>
    <row r="21" spans="1:82" outlineLevel="1" x14ac:dyDescent="0.2">
      <c r="A21" s="33">
        <v>211</v>
      </c>
      <c r="B21" s="49" t="s">
        <v>36</v>
      </c>
      <c r="C21" s="50"/>
      <c r="D21" s="50"/>
      <c r="E21" s="52">
        <f t="shared" si="22"/>
        <v>0</v>
      </c>
      <c r="F21" s="50"/>
      <c r="G21" s="50"/>
      <c r="H21" s="52">
        <f t="shared" si="27"/>
        <v>0</v>
      </c>
      <c r="I21" s="50"/>
      <c r="J21" s="50"/>
      <c r="K21" s="52">
        <f t="shared" si="0"/>
        <v>0</v>
      </c>
      <c r="L21" s="50"/>
      <c r="M21" s="50"/>
      <c r="N21" s="52">
        <f t="shared" si="1"/>
        <v>0</v>
      </c>
      <c r="O21" s="50"/>
      <c r="P21" s="50"/>
      <c r="Q21" s="52">
        <f t="shared" si="2"/>
        <v>0</v>
      </c>
      <c r="R21" s="50"/>
      <c r="S21" s="50"/>
      <c r="T21" s="52">
        <f t="shared" si="3"/>
        <v>0</v>
      </c>
      <c r="U21" s="50"/>
      <c r="V21" s="50"/>
      <c r="W21" s="52">
        <f t="shared" si="4"/>
        <v>0</v>
      </c>
      <c r="X21" s="50"/>
      <c r="Y21" s="50"/>
      <c r="Z21" s="52">
        <f t="shared" si="5"/>
        <v>0</v>
      </c>
      <c r="AA21" s="50"/>
      <c r="AB21" s="50"/>
      <c r="AC21" s="52">
        <f t="shared" si="6"/>
        <v>0</v>
      </c>
      <c r="AD21" s="50"/>
      <c r="AE21" s="50"/>
      <c r="AF21" s="52">
        <f t="shared" si="7"/>
        <v>0</v>
      </c>
      <c r="AG21" s="50"/>
      <c r="AH21" s="50"/>
      <c r="AI21" s="52">
        <f t="shared" si="8"/>
        <v>0</v>
      </c>
      <c r="AJ21" s="50"/>
      <c r="AK21" s="50"/>
      <c r="AL21" s="52">
        <f t="shared" si="9"/>
        <v>0</v>
      </c>
      <c r="AM21" s="50"/>
      <c r="AN21" s="50"/>
      <c r="AO21" s="52">
        <f t="shared" si="10"/>
        <v>0</v>
      </c>
      <c r="AP21" s="50"/>
      <c r="AQ21" s="50"/>
      <c r="AR21" s="52">
        <f t="shared" si="11"/>
        <v>0</v>
      </c>
      <c r="AS21" s="50"/>
      <c r="AT21" s="50"/>
      <c r="AU21" s="52">
        <f t="shared" si="12"/>
        <v>0</v>
      </c>
      <c r="AV21" s="50"/>
      <c r="AW21" s="50"/>
      <c r="AX21" s="52">
        <f t="shared" si="13"/>
        <v>0</v>
      </c>
      <c r="AY21" s="50"/>
      <c r="AZ21" s="50"/>
      <c r="BA21" s="52">
        <f t="shared" si="14"/>
        <v>0</v>
      </c>
      <c r="BB21" s="50"/>
      <c r="BC21" s="50"/>
      <c r="BD21" s="52">
        <f t="shared" si="15"/>
        <v>0</v>
      </c>
      <c r="BE21" s="50"/>
      <c r="BF21" s="50"/>
      <c r="BG21" s="52">
        <f t="shared" si="16"/>
        <v>0</v>
      </c>
      <c r="BH21" s="50"/>
      <c r="BI21" s="50"/>
      <c r="BJ21" s="52">
        <f t="shared" si="17"/>
        <v>0</v>
      </c>
      <c r="BK21" s="50"/>
      <c r="BL21" s="50"/>
      <c r="BM21" s="52">
        <f t="shared" si="18"/>
        <v>0</v>
      </c>
      <c r="BN21" s="50"/>
      <c r="BO21" s="50"/>
      <c r="BP21" s="52">
        <f t="shared" si="19"/>
        <v>0</v>
      </c>
      <c r="BQ21" s="50"/>
      <c r="BR21" s="50"/>
      <c r="BS21" s="52">
        <f t="shared" si="20"/>
        <v>0</v>
      </c>
      <c r="BT21" s="50"/>
      <c r="BU21" s="50"/>
      <c r="BV21" s="52">
        <f t="shared" si="21"/>
        <v>0</v>
      </c>
      <c r="BW21" s="36">
        <f t="shared" si="23"/>
        <v>0</v>
      </c>
      <c r="BX21" s="36">
        <f t="shared" si="23"/>
        <v>0</v>
      </c>
      <c r="BY21" s="36">
        <f t="shared" si="24"/>
        <v>0</v>
      </c>
      <c r="BZ21" s="36">
        <f t="shared" si="25"/>
        <v>0</v>
      </c>
      <c r="CA21" s="36">
        <f t="shared" si="25"/>
        <v>0</v>
      </c>
      <c r="CB21" s="36">
        <f t="shared" si="26"/>
        <v>0</v>
      </c>
      <c r="CC21" s="16">
        <f>+CB21+CB22+CB24-CB61-CB63</f>
        <v>2197100</v>
      </c>
    </row>
    <row r="22" spans="1:82" outlineLevel="1" x14ac:dyDescent="0.2">
      <c r="A22" s="33">
        <v>212</v>
      </c>
      <c r="B22" s="49" t="s">
        <v>37</v>
      </c>
      <c r="C22" s="50"/>
      <c r="D22" s="50"/>
      <c r="E22" s="52">
        <f t="shared" si="22"/>
        <v>0</v>
      </c>
      <c r="F22" s="48">
        <v>292000</v>
      </c>
      <c r="G22" s="50"/>
      <c r="H22" s="52">
        <f t="shared" si="27"/>
        <v>292000</v>
      </c>
      <c r="I22" s="50"/>
      <c r="J22" s="50"/>
      <c r="K22" s="52">
        <f t="shared" si="0"/>
        <v>0</v>
      </c>
      <c r="L22" s="50">
        <v>141000</v>
      </c>
      <c r="M22" s="50"/>
      <c r="N22" s="52">
        <f t="shared" si="1"/>
        <v>141000</v>
      </c>
      <c r="O22" s="50">
        <f>1500000+560000</f>
        <v>2060000</v>
      </c>
      <c r="P22" s="50"/>
      <c r="Q22" s="52">
        <f t="shared" si="2"/>
        <v>2060000</v>
      </c>
      <c r="R22" s="50">
        <f>1500000+560000</f>
        <v>2060000</v>
      </c>
      <c r="S22" s="50"/>
      <c r="T22" s="52">
        <f t="shared" si="3"/>
        <v>2060000</v>
      </c>
      <c r="U22" s="50"/>
      <c r="V22" s="50"/>
      <c r="W22" s="52">
        <f t="shared" si="4"/>
        <v>0</v>
      </c>
      <c r="X22" s="50"/>
      <c r="Y22" s="50"/>
      <c r="Z22" s="52">
        <f t="shared" si="5"/>
        <v>0</v>
      </c>
      <c r="AA22" s="50">
        <v>72000</v>
      </c>
      <c r="AB22" s="50"/>
      <c r="AC22" s="52">
        <f t="shared" si="6"/>
        <v>72000</v>
      </c>
      <c r="AD22" s="48">
        <v>72000</v>
      </c>
      <c r="AE22" s="50"/>
      <c r="AF22" s="52">
        <f t="shared" si="7"/>
        <v>72000</v>
      </c>
      <c r="AG22" s="50">
        <v>8000</v>
      </c>
      <c r="AH22" s="50"/>
      <c r="AI22" s="52">
        <f t="shared" si="8"/>
        <v>8000</v>
      </c>
      <c r="AJ22" s="50">
        <v>458000</v>
      </c>
      <c r="AK22" s="50"/>
      <c r="AL22" s="52">
        <f t="shared" si="9"/>
        <v>458000</v>
      </c>
      <c r="AM22" s="50">
        <v>241100</v>
      </c>
      <c r="AN22" s="50"/>
      <c r="AO22" s="52">
        <f t="shared" si="10"/>
        <v>241100</v>
      </c>
      <c r="AP22" s="50">
        <v>241100</v>
      </c>
      <c r="AQ22" s="50"/>
      <c r="AR22" s="52">
        <f t="shared" si="11"/>
        <v>241100</v>
      </c>
      <c r="AS22" s="50"/>
      <c r="AT22" s="50"/>
      <c r="AU22" s="52">
        <f t="shared" si="12"/>
        <v>0</v>
      </c>
      <c r="AV22" s="50"/>
      <c r="AW22" s="50"/>
      <c r="AX22" s="52">
        <f t="shared" si="13"/>
        <v>0</v>
      </c>
      <c r="AY22" s="50"/>
      <c r="AZ22" s="50"/>
      <c r="BA22" s="52">
        <f t="shared" si="14"/>
        <v>0</v>
      </c>
      <c r="BB22" s="50"/>
      <c r="BC22" s="50"/>
      <c r="BD22" s="52">
        <f t="shared" si="15"/>
        <v>0</v>
      </c>
      <c r="BE22" s="50"/>
      <c r="BF22" s="50"/>
      <c r="BG22" s="52">
        <f t="shared" si="16"/>
        <v>0</v>
      </c>
      <c r="BH22" s="50"/>
      <c r="BI22" s="50"/>
      <c r="BJ22" s="52">
        <f t="shared" si="17"/>
        <v>0</v>
      </c>
      <c r="BK22" s="50"/>
      <c r="BL22" s="50"/>
      <c r="BM22" s="52">
        <f t="shared" si="18"/>
        <v>0</v>
      </c>
      <c r="BN22" s="48"/>
      <c r="BO22" s="50"/>
      <c r="BP22" s="52">
        <f t="shared" si="19"/>
        <v>0</v>
      </c>
      <c r="BQ22" s="50"/>
      <c r="BR22" s="50"/>
      <c r="BS22" s="52">
        <f t="shared" si="20"/>
        <v>0</v>
      </c>
      <c r="BT22" s="50"/>
      <c r="BU22" s="50"/>
      <c r="BV22" s="52">
        <f t="shared" si="21"/>
        <v>0</v>
      </c>
      <c r="BW22" s="36">
        <f t="shared" si="23"/>
        <v>2381100</v>
      </c>
      <c r="BX22" s="36">
        <f t="shared" si="23"/>
        <v>0</v>
      </c>
      <c r="BY22" s="36">
        <f t="shared" si="24"/>
        <v>2381100</v>
      </c>
      <c r="BZ22" s="36">
        <f t="shared" si="25"/>
        <v>3264100</v>
      </c>
      <c r="CA22" s="36">
        <f t="shared" si="25"/>
        <v>0</v>
      </c>
      <c r="CB22" s="36">
        <f t="shared" si="26"/>
        <v>3264100</v>
      </c>
    </row>
    <row r="23" spans="1:82" s="44" customFormat="1" ht="24" outlineLevel="1" x14ac:dyDescent="0.2">
      <c r="A23" s="38"/>
      <c r="B23" s="39" t="s">
        <v>38</v>
      </c>
      <c r="C23" s="40"/>
      <c r="D23" s="40"/>
      <c r="E23" s="41">
        <f t="shared" si="22"/>
        <v>0</v>
      </c>
      <c r="F23" s="40"/>
      <c r="G23" s="40"/>
      <c r="H23" s="41">
        <f t="shared" si="27"/>
        <v>0</v>
      </c>
      <c r="I23" s="40"/>
      <c r="J23" s="40"/>
      <c r="K23" s="41">
        <f t="shared" si="0"/>
        <v>0</v>
      </c>
      <c r="L23" s="40"/>
      <c r="M23" s="40"/>
      <c r="N23" s="41">
        <f t="shared" si="1"/>
        <v>0</v>
      </c>
      <c r="O23" s="40"/>
      <c r="P23" s="40"/>
      <c r="Q23" s="41">
        <f t="shared" si="2"/>
        <v>0</v>
      </c>
      <c r="R23" s="40"/>
      <c r="S23" s="40"/>
      <c r="T23" s="41">
        <f t="shared" si="3"/>
        <v>0</v>
      </c>
      <c r="U23" s="40"/>
      <c r="V23" s="40"/>
      <c r="W23" s="41">
        <f t="shared" si="4"/>
        <v>0</v>
      </c>
      <c r="X23" s="40"/>
      <c r="Y23" s="40"/>
      <c r="Z23" s="41">
        <f t="shared" si="5"/>
        <v>0</v>
      </c>
      <c r="AA23" s="40"/>
      <c r="AB23" s="40"/>
      <c r="AC23" s="41">
        <f t="shared" si="6"/>
        <v>0</v>
      </c>
      <c r="AD23" s="40"/>
      <c r="AE23" s="40"/>
      <c r="AF23" s="41">
        <f t="shared" si="7"/>
        <v>0</v>
      </c>
      <c r="AG23" s="40"/>
      <c r="AH23" s="40"/>
      <c r="AI23" s="41">
        <f t="shared" si="8"/>
        <v>0</v>
      </c>
      <c r="AJ23" s="40"/>
      <c r="AK23" s="40"/>
      <c r="AL23" s="41">
        <f t="shared" si="9"/>
        <v>0</v>
      </c>
      <c r="AM23" s="40"/>
      <c r="AN23" s="40"/>
      <c r="AO23" s="41">
        <f t="shared" si="10"/>
        <v>0</v>
      </c>
      <c r="AP23" s="40"/>
      <c r="AQ23" s="40"/>
      <c r="AR23" s="41">
        <f t="shared" si="11"/>
        <v>0</v>
      </c>
      <c r="AS23" s="40"/>
      <c r="AT23" s="40"/>
      <c r="AU23" s="41">
        <f t="shared" si="12"/>
        <v>0</v>
      </c>
      <c r="AV23" s="40"/>
      <c r="AW23" s="40"/>
      <c r="AX23" s="41">
        <f t="shared" si="13"/>
        <v>0</v>
      </c>
      <c r="AY23" s="40"/>
      <c r="AZ23" s="40"/>
      <c r="BA23" s="41">
        <f t="shared" si="14"/>
        <v>0</v>
      </c>
      <c r="BB23" s="40"/>
      <c r="BC23" s="40"/>
      <c r="BD23" s="41">
        <f t="shared" si="15"/>
        <v>0</v>
      </c>
      <c r="BE23" s="40"/>
      <c r="BF23" s="40"/>
      <c r="BG23" s="41">
        <f t="shared" si="16"/>
        <v>0</v>
      </c>
      <c r="BH23" s="40"/>
      <c r="BI23" s="40"/>
      <c r="BJ23" s="41">
        <f t="shared" si="17"/>
        <v>0</v>
      </c>
      <c r="BK23" s="40"/>
      <c r="BL23" s="40"/>
      <c r="BM23" s="41">
        <f t="shared" si="18"/>
        <v>0</v>
      </c>
      <c r="BN23" s="40"/>
      <c r="BO23" s="40"/>
      <c r="BP23" s="41">
        <f t="shared" si="19"/>
        <v>0</v>
      </c>
      <c r="BQ23" s="40"/>
      <c r="BR23" s="40"/>
      <c r="BS23" s="41">
        <f t="shared" si="20"/>
        <v>0</v>
      </c>
      <c r="BT23" s="40"/>
      <c r="BU23" s="40"/>
      <c r="BV23" s="41">
        <f t="shared" si="21"/>
        <v>0</v>
      </c>
      <c r="BW23" s="43">
        <f t="shared" si="23"/>
        <v>0</v>
      </c>
      <c r="BX23" s="43">
        <f t="shared" si="23"/>
        <v>0</v>
      </c>
      <c r="BY23" s="43">
        <f t="shared" si="24"/>
        <v>0</v>
      </c>
      <c r="BZ23" s="43">
        <f t="shared" si="25"/>
        <v>0</v>
      </c>
      <c r="CA23" s="43">
        <f t="shared" si="25"/>
        <v>0</v>
      </c>
      <c r="CB23" s="43">
        <f t="shared" si="26"/>
        <v>0</v>
      </c>
    </row>
    <row r="24" spans="1:82" outlineLevel="1" x14ac:dyDescent="0.2">
      <c r="A24" s="33">
        <v>213</v>
      </c>
      <c r="B24" s="49" t="s">
        <v>39</v>
      </c>
      <c r="C24" s="50"/>
      <c r="D24" s="50"/>
      <c r="E24" s="52">
        <f t="shared" si="22"/>
        <v>0</v>
      </c>
      <c r="F24" s="50"/>
      <c r="G24" s="50"/>
      <c r="H24" s="52">
        <f t="shared" si="27"/>
        <v>0</v>
      </c>
      <c r="I24" s="50"/>
      <c r="J24" s="50"/>
      <c r="K24" s="52">
        <f t="shared" si="0"/>
        <v>0</v>
      </c>
      <c r="L24" s="50"/>
      <c r="M24" s="50"/>
      <c r="N24" s="52">
        <f t="shared" si="1"/>
        <v>0</v>
      </c>
      <c r="O24" s="50"/>
      <c r="P24" s="50"/>
      <c r="Q24" s="52">
        <f t="shared" si="2"/>
        <v>0</v>
      </c>
      <c r="R24" s="50"/>
      <c r="S24" s="50"/>
      <c r="T24" s="52">
        <f t="shared" si="3"/>
        <v>0</v>
      </c>
      <c r="U24" s="50"/>
      <c r="V24" s="50"/>
      <c r="W24" s="52">
        <f t="shared" si="4"/>
        <v>0</v>
      </c>
      <c r="X24" s="50"/>
      <c r="Y24" s="50"/>
      <c r="Z24" s="52">
        <f t="shared" si="5"/>
        <v>0</v>
      </c>
      <c r="AA24" s="50"/>
      <c r="AB24" s="50"/>
      <c r="AC24" s="52">
        <f t="shared" si="6"/>
        <v>0</v>
      </c>
      <c r="AD24" s="50"/>
      <c r="AE24" s="50"/>
      <c r="AF24" s="52">
        <f t="shared" si="7"/>
        <v>0</v>
      </c>
      <c r="AG24" s="50"/>
      <c r="AH24" s="50"/>
      <c r="AI24" s="52">
        <f t="shared" si="8"/>
        <v>0</v>
      </c>
      <c r="AJ24" s="50"/>
      <c r="AK24" s="50"/>
      <c r="AL24" s="52">
        <f t="shared" si="9"/>
        <v>0</v>
      </c>
      <c r="AM24" s="50"/>
      <c r="AN24" s="50"/>
      <c r="AO24" s="52">
        <f t="shared" si="10"/>
        <v>0</v>
      </c>
      <c r="AP24" s="50"/>
      <c r="AQ24" s="50"/>
      <c r="AR24" s="52">
        <f t="shared" si="11"/>
        <v>0</v>
      </c>
      <c r="AS24" s="50"/>
      <c r="AT24" s="50">
        <v>2500</v>
      </c>
      <c r="AU24" s="52">
        <f t="shared" si="12"/>
        <v>2500</v>
      </c>
      <c r="AV24" s="50"/>
      <c r="AW24" s="50">
        <v>2500</v>
      </c>
      <c r="AX24" s="52">
        <f t="shared" si="13"/>
        <v>2500</v>
      </c>
      <c r="AY24" s="50"/>
      <c r="AZ24" s="50">
        <v>500</v>
      </c>
      <c r="BA24" s="52">
        <f t="shared" si="14"/>
        <v>500</v>
      </c>
      <c r="BB24" s="50"/>
      <c r="BC24" s="50">
        <v>500</v>
      </c>
      <c r="BD24" s="52">
        <f t="shared" si="15"/>
        <v>500</v>
      </c>
      <c r="BE24" s="50"/>
      <c r="BF24" s="50"/>
      <c r="BG24" s="52">
        <f t="shared" si="16"/>
        <v>0</v>
      </c>
      <c r="BH24" s="50"/>
      <c r="BI24" s="50"/>
      <c r="BJ24" s="52">
        <f t="shared" si="17"/>
        <v>0</v>
      </c>
      <c r="BK24" s="50"/>
      <c r="BL24" s="50"/>
      <c r="BM24" s="52">
        <f t="shared" si="18"/>
        <v>0</v>
      </c>
      <c r="BN24" s="50"/>
      <c r="BO24" s="50"/>
      <c r="BP24" s="52">
        <f t="shared" si="19"/>
        <v>0</v>
      </c>
      <c r="BQ24" s="50"/>
      <c r="BR24" s="50"/>
      <c r="BS24" s="52">
        <f t="shared" si="20"/>
        <v>0</v>
      </c>
      <c r="BT24" s="50"/>
      <c r="BU24" s="50"/>
      <c r="BV24" s="52">
        <f t="shared" si="21"/>
        <v>0</v>
      </c>
      <c r="BW24" s="36">
        <f t="shared" si="23"/>
        <v>0</v>
      </c>
      <c r="BX24" s="36">
        <f t="shared" si="23"/>
        <v>3000</v>
      </c>
      <c r="BY24" s="36">
        <f t="shared" si="24"/>
        <v>3000</v>
      </c>
      <c r="BZ24" s="36">
        <f t="shared" si="25"/>
        <v>0</v>
      </c>
      <c r="CA24" s="36">
        <f t="shared" si="25"/>
        <v>3000</v>
      </c>
      <c r="CB24" s="36">
        <f t="shared" si="26"/>
        <v>3000</v>
      </c>
    </row>
    <row r="25" spans="1:82" s="44" customFormat="1" ht="24" outlineLevel="1" x14ac:dyDescent="0.2">
      <c r="A25" s="38"/>
      <c r="B25" s="39" t="s">
        <v>40</v>
      </c>
      <c r="C25" s="40"/>
      <c r="D25" s="40"/>
      <c r="E25" s="41">
        <f t="shared" si="22"/>
        <v>0</v>
      </c>
      <c r="F25" s="40"/>
      <c r="G25" s="40"/>
      <c r="H25" s="41">
        <f t="shared" si="27"/>
        <v>0</v>
      </c>
      <c r="I25" s="40"/>
      <c r="J25" s="40"/>
      <c r="K25" s="41">
        <f t="shared" si="0"/>
        <v>0</v>
      </c>
      <c r="L25" s="40"/>
      <c r="M25" s="40"/>
      <c r="N25" s="41">
        <f t="shared" si="1"/>
        <v>0</v>
      </c>
      <c r="O25" s="40"/>
      <c r="P25" s="40"/>
      <c r="Q25" s="41">
        <f t="shared" si="2"/>
        <v>0</v>
      </c>
      <c r="R25" s="40"/>
      <c r="S25" s="40"/>
      <c r="T25" s="41">
        <f t="shared" si="3"/>
        <v>0</v>
      </c>
      <c r="U25" s="40"/>
      <c r="V25" s="40"/>
      <c r="W25" s="41">
        <f t="shared" si="4"/>
        <v>0</v>
      </c>
      <c r="X25" s="40"/>
      <c r="Y25" s="40"/>
      <c r="Z25" s="41">
        <f t="shared" si="5"/>
        <v>0</v>
      </c>
      <c r="AA25" s="40"/>
      <c r="AB25" s="40"/>
      <c r="AC25" s="41">
        <f t="shared" si="6"/>
        <v>0</v>
      </c>
      <c r="AD25" s="40"/>
      <c r="AE25" s="40"/>
      <c r="AF25" s="41">
        <f t="shared" si="7"/>
        <v>0</v>
      </c>
      <c r="AG25" s="40"/>
      <c r="AH25" s="40"/>
      <c r="AI25" s="41">
        <f t="shared" si="8"/>
        <v>0</v>
      </c>
      <c r="AJ25" s="40"/>
      <c r="AK25" s="40"/>
      <c r="AL25" s="41">
        <f t="shared" si="9"/>
        <v>0</v>
      </c>
      <c r="AM25" s="40"/>
      <c r="AN25" s="40"/>
      <c r="AO25" s="41">
        <f t="shared" si="10"/>
        <v>0</v>
      </c>
      <c r="AP25" s="40"/>
      <c r="AQ25" s="40"/>
      <c r="AR25" s="41">
        <f t="shared" si="11"/>
        <v>0</v>
      </c>
      <c r="AS25" s="40"/>
      <c r="AT25" s="40"/>
      <c r="AU25" s="41">
        <f t="shared" si="12"/>
        <v>0</v>
      </c>
      <c r="AV25" s="40"/>
      <c r="AW25" s="40"/>
      <c r="AX25" s="41">
        <f t="shared" si="13"/>
        <v>0</v>
      </c>
      <c r="AY25" s="40"/>
      <c r="AZ25" s="40"/>
      <c r="BA25" s="41">
        <f t="shared" si="14"/>
        <v>0</v>
      </c>
      <c r="BB25" s="40"/>
      <c r="BC25" s="40"/>
      <c r="BD25" s="41">
        <f t="shared" si="15"/>
        <v>0</v>
      </c>
      <c r="BE25" s="40"/>
      <c r="BF25" s="40"/>
      <c r="BG25" s="41">
        <f t="shared" si="16"/>
        <v>0</v>
      </c>
      <c r="BH25" s="40"/>
      <c r="BI25" s="40"/>
      <c r="BJ25" s="41">
        <f t="shared" si="17"/>
        <v>0</v>
      </c>
      <c r="BK25" s="40"/>
      <c r="BL25" s="40"/>
      <c r="BM25" s="41">
        <f t="shared" si="18"/>
        <v>0</v>
      </c>
      <c r="BN25" s="40"/>
      <c r="BO25" s="40"/>
      <c r="BP25" s="41">
        <f t="shared" si="19"/>
        <v>0</v>
      </c>
      <c r="BQ25" s="40"/>
      <c r="BR25" s="40"/>
      <c r="BS25" s="41">
        <f t="shared" si="20"/>
        <v>0</v>
      </c>
      <c r="BT25" s="40"/>
      <c r="BU25" s="40"/>
      <c r="BV25" s="41">
        <f t="shared" si="21"/>
        <v>0</v>
      </c>
      <c r="BW25" s="43">
        <f t="shared" si="23"/>
        <v>0</v>
      </c>
      <c r="BX25" s="43">
        <f t="shared" si="23"/>
        <v>0</v>
      </c>
      <c r="BY25" s="43">
        <f t="shared" si="24"/>
        <v>0</v>
      </c>
      <c r="BZ25" s="43">
        <f t="shared" si="25"/>
        <v>0</v>
      </c>
      <c r="CA25" s="43">
        <f t="shared" si="25"/>
        <v>0</v>
      </c>
      <c r="CB25" s="43">
        <f t="shared" si="26"/>
        <v>0</v>
      </c>
    </row>
    <row r="26" spans="1:82" ht="25.5" outlineLevel="1" x14ac:dyDescent="0.2">
      <c r="A26" s="33">
        <v>214</v>
      </c>
      <c r="B26" s="49" t="s">
        <v>41</v>
      </c>
      <c r="C26" s="50"/>
      <c r="D26" s="50"/>
      <c r="E26" s="52">
        <f t="shared" si="22"/>
        <v>0</v>
      </c>
      <c r="F26" s="50"/>
      <c r="G26" s="50"/>
      <c r="H26" s="52"/>
      <c r="I26" s="50"/>
      <c r="J26" s="50"/>
      <c r="K26" s="52">
        <f t="shared" si="0"/>
        <v>0</v>
      </c>
      <c r="L26" s="50"/>
      <c r="M26" s="50"/>
      <c r="N26" s="52">
        <f t="shared" si="1"/>
        <v>0</v>
      </c>
      <c r="O26" s="50"/>
      <c r="P26" s="50"/>
      <c r="Q26" s="52">
        <f t="shared" si="2"/>
        <v>0</v>
      </c>
      <c r="R26" s="48">
        <v>250000</v>
      </c>
      <c r="S26" s="50"/>
      <c r="T26" s="52">
        <f t="shared" si="3"/>
        <v>250000</v>
      </c>
      <c r="U26" s="50"/>
      <c r="V26" s="50"/>
      <c r="W26" s="52">
        <f t="shared" si="4"/>
        <v>0</v>
      </c>
      <c r="X26" s="50"/>
      <c r="Y26" s="50"/>
      <c r="Z26" s="52">
        <f t="shared" si="5"/>
        <v>0</v>
      </c>
      <c r="AA26" s="50"/>
      <c r="AB26" s="50"/>
      <c r="AC26" s="52">
        <f t="shared" si="6"/>
        <v>0</v>
      </c>
      <c r="AD26" s="48">
        <v>1093.33</v>
      </c>
      <c r="AE26" s="50"/>
      <c r="AF26" s="52">
        <f t="shared" si="7"/>
        <v>1093.33</v>
      </c>
      <c r="AG26" s="50"/>
      <c r="AH26" s="50"/>
      <c r="AI26" s="52">
        <f t="shared" si="8"/>
        <v>0</v>
      </c>
      <c r="AJ26" s="50"/>
      <c r="AK26" s="50"/>
      <c r="AL26" s="52">
        <f t="shared" si="9"/>
        <v>0</v>
      </c>
      <c r="AM26" s="50"/>
      <c r="AN26" s="50"/>
      <c r="AO26" s="52">
        <f t="shared" si="10"/>
        <v>0</v>
      </c>
      <c r="AP26" s="50"/>
      <c r="AQ26" s="50"/>
      <c r="AR26" s="52">
        <f t="shared" si="11"/>
        <v>0</v>
      </c>
      <c r="AS26" s="50"/>
      <c r="AT26" s="50"/>
      <c r="AU26" s="52">
        <f t="shared" si="12"/>
        <v>0</v>
      </c>
      <c r="AV26" s="50"/>
      <c r="AW26" s="50"/>
      <c r="AX26" s="52">
        <f t="shared" si="13"/>
        <v>0</v>
      </c>
      <c r="AY26" s="50"/>
      <c r="AZ26" s="50"/>
      <c r="BA26" s="52">
        <f t="shared" si="14"/>
        <v>0</v>
      </c>
      <c r="BB26" s="50"/>
      <c r="BC26" s="50"/>
      <c r="BD26" s="52">
        <f t="shared" si="15"/>
        <v>0</v>
      </c>
      <c r="BE26" s="50"/>
      <c r="BF26" s="50"/>
      <c r="BG26" s="52">
        <f t="shared" si="16"/>
        <v>0</v>
      </c>
      <c r="BH26" s="50"/>
      <c r="BI26" s="50"/>
      <c r="BJ26" s="52">
        <f t="shared" si="17"/>
        <v>0</v>
      </c>
      <c r="BK26" s="50"/>
      <c r="BL26" s="50"/>
      <c r="BM26" s="52">
        <f t="shared" si="18"/>
        <v>0</v>
      </c>
      <c r="BN26" s="50"/>
      <c r="BO26" s="50"/>
      <c r="BP26" s="52">
        <f t="shared" si="19"/>
        <v>0</v>
      </c>
      <c r="BQ26" s="50"/>
      <c r="BR26" s="50"/>
      <c r="BS26" s="52">
        <f t="shared" si="20"/>
        <v>0</v>
      </c>
      <c r="BT26" s="50"/>
      <c r="BU26" s="50"/>
      <c r="BV26" s="52">
        <f t="shared" si="21"/>
        <v>0</v>
      </c>
      <c r="BW26" s="36">
        <f t="shared" si="23"/>
        <v>0</v>
      </c>
      <c r="BX26" s="36">
        <f t="shared" si="23"/>
        <v>0</v>
      </c>
      <c r="BY26" s="36">
        <f t="shared" si="24"/>
        <v>0</v>
      </c>
      <c r="BZ26" s="36">
        <f t="shared" si="25"/>
        <v>251093.33</v>
      </c>
      <c r="CA26" s="36">
        <f t="shared" si="25"/>
        <v>0</v>
      </c>
      <c r="CB26" s="36">
        <f t="shared" si="26"/>
        <v>251093.33</v>
      </c>
    </row>
    <row r="27" spans="1:82" outlineLevel="1" x14ac:dyDescent="0.2">
      <c r="A27" s="33">
        <v>311</v>
      </c>
      <c r="B27" s="49" t="s">
        <v>42</v>
      </c>
      <c r="C27" s="50"/>
      <c r="D27" s="50"/>
      <c r="E27" s="52">
        <f t="shared" si="22"/>
        <v>0</v>
      </c>
      <c r="F27" s="50"/>
      <c r="G27" s="50"/>
      <c r="H27" s="52">
        <f t="shared" si="27"/>
        <v>0</v>
      </c>
      <c r="I27" s="50"/>
      <c r="J27" s="50"/>
      <c r="K27" s="52">
        <f t="shared" si="0"/>
        <v>0</v>
      </c>
      <c r="L27" s="50"/>
      <c r="M27" s="50"/>
      <c r="N27" s="52">
        <f t="shared" si="1"/>
        <v>0</v>
      </c>
      <c r="O27" s="50"/>
      <c r="P27" s="50"/>
      <c r="Q27" s="52">
        <f t="shared" si="2"/>
        <v>0</v>
      </c>
      <c r="R27" s="48"/>
      <c r="S27" s="50"/>
      <c r="T27" s="52">
        <f t="shared" si="3"/>
        <v>0</v>
      </c>
      <c r="U27" s="50"/>
      <c r="V27" s="50"/>
      <c r="W27" s="52">
        <f t="shared" si="4"/>
        <v>0</v>
      </c>
      <c r="X27" s="50"/>
      <c r="Y27" s="50"/>
      <c r="Z27" s="52">
        <f t="shared" si="5"/>
        <v>0</v>
      </c>
      <c r="AA27" s="50"/>
      <c r="AB27" s="50"/>
      <c r="AC27" s="52">
        <f t="shared" si="6"/>
        <v>0</v>
      </c>
      <c r="AD27" s="50"/>
      <c r="AE27" s="50"/>
      <c r="AF27" s="52">
        <f t="shared" si="7"/>
        <v>0</v>
      </c>
      <c r="AG27" s="50"/>
      <c r="AH27" s="50"/>
      <c r="AI27" s="52">
        <f t="shared" si="8"/>
        <v>0</v>
      </c>
      <c r="AJ27" s="50"/>
      <c r="AK27" s="50"/>
      <c r="AL27" s="52">
        <f t="shared" si="9"/>
        <v>0</v>
      </c>
      <c r="AM27" s="50"/>
      <c r="AN27" s="50"/>
      <c r="AO27" s="52">
        <f t="shared" si="10"/>
        <v>0</v>
      </c>
      <c r="AP27" s="50"/>
      <c r="AQ27" s="50"/>
      <c r="AR27" s="52">
        <f t="shared" si="11"/>
        <v>0</v>
      </c>
      <c r="AS27" s="50"/>
      <c r="AT27" s="50"/>
      <c r="AU27" s="52">
        <f t="shared" si="12"/>
        <v>0</v>
      </c>
      <c r="AV27" s="50"/>
      <c r="AW27" s="50"/>
      <c r="AX27" s="52">
        <f t="shared" si="13"/>
        <v>0</v>
      </c>
      <c r="AY27" s="50"/>
      <c r="AZ27" s="50"/>
      <c r="BA27" s="52">
        <f t="shared" si="14"/>
        <v>0</v>
      </c>
      <c r="BB27" s="50"/>
      <c r="BC27" s="50"/>
      <c r="BD27" s="52">
        <f t="shared" si="15"/>
        <v>0</v>
      </c>
      <c r="BE27" s="50"/>
      <c r="BF27" s="50"/>
      <c r="BG27" s="52">
        <f t="shared" si="16"/>
        <v>0</v>
      </c>
      <c r="BH27" s="50"/>
      <c r="BI27" s="50"/>
      <c r="BJ27" s="52">
        <f t="shared" si="17"/>
        <v>0</v>
      </c>
      <c r="BK27" s="50"/>
      <c r="BL27" s="50"/>
      <c r="BM27" s="52">
        <f t="shared" si="18"/>
        <v>0</v>
      </c>
      <c r="BN27" s="50"/>
      <c r="BO27" s="50"/>
      <c r="BP27" s="52">
        <f t="shared" si="19"/>
        <v>0</v>
      </c>
      <c r="BQ27" s="50"/>
      <c r="BR27" s="50"/>
      <c r="BS27" s="52">
        <f t="shared" si="20"/>
        <v>0</v>
      </c>
      <c r="BT27" s="50"/>
      <c r="BU27" s="50"/>
      <c r="BV27" s="52">
        <f t="shared" si="21"/>
        <v>0</v>
      </c>
      <c r="BW27" s="36">
        <f t="shared" si="23"/>
        <v>0</v>
      </c>
      <c r="BX27" s="36">
        <f t="shared" si="23"/>
        <v>0</v>
      </c>
      <c r="BY27" s="36">
        <f t="shared" si="24"/>
        <v>0</v>
      </c>
      <c r="BZ27" s="36">
        <f t="shared" si="25"/>
        <v>0</v>
      </c>
      <c r="CA27" s="36">
        <f t="shared" si="25"/>
        <v>0</v>
      </c>
      <c r="CB27" s="36">
        <f t="shared" si="26"/>
        <v>0</v>
      </c>
    </row>
    <row r="28" spans="1:82" outlineLevel="1" x14ac:dyDescent="0.2">
      <c r="A28" s="33">
        <v>318</v>
      </c>
      <c r="B28" s="49" t="s">
        <v>43</v>
      </c>
      <c r="C28" s="50"/>
      <c r="D28" s="50"/>
      <c r="E28" s="52">
        <f t="shared" si="22"/>
        <v>0</v>
      </c>
      <c r="F28" s="50"/>
      <c r="G28" s="50"/>
      <c r="H28" s="52">
        <f t="shared" si="27"/>
        <v>0</v>
      </c>
      <c r="I28" s="50"/>
      <c r="J28" s="50"/>
      <c r="K28" s="52">
        <f t="shared" si="0"/>
        <v>0</v>
      </c>
      <c r="L28" s="50"/>
      <c r="M28" s="50"/>
      <c r="N28" s="52">
        <f t="shared" si="1"/>
        <v>0</v>
      </c>
      <c r="O28" s="50"/>
      <c r="P28" s="50"/>
      <c r="Q28" s="52">
        <f t="shared" si="2"/>
        <v>0</v>
      </c>
      <c r="R28" s="48"/>
      <c r="S28" s="50"/>
      <c r="T28" s="52">
        <f t="shared" si="3"/>
        <v>0</v>
      </c>
      <c r="U28" s="50"/>
      <c r="V28" s="50"/>
      <c r="W28" s="52">
        <f t="shared" si="4"/>
        <v>0</v>
      </c>
      <c r="X28" s="50"/>
      <c r="Y28" s="50"/>
      <c r="Z28" s="52">
        <f t="shared" si="5"/>
        <v>0</v>
      </c>
      <c r="AA28" s="50"/>
      <c r="AB28" s="50"/>
      <c r="AC28" s="52">
        <f t="shared" si="6"/>
        <v>0</v>
      </c>
      <c r="AD28" s="50"/>
      <c r="AE28" s="50"/>
      <c r="AF28" s="52">
        <f t="shared" si="7"/>
        <v>0</v>
      </c>
      <c r="AG28" s="50"/>
      <c r="AH28" s="50"/>
      <c r="AI28" s="52">
        <f t="shared" si="8"/>
        <v>0</v>
      </c>
      <c r="AJ28" s="50"/>
      <c r="AK28" s="50"/>
      <c r="AL28" s="52">
        <f t="shared" si="9"/>
        <v>0</v>
      </c>
      <c r="AM28" s="50"/>
      <c r="AN28" s="50"/>
      <c r="AO28" s="52">
        <f t="shared" si="10"/>
        <v>0</v>
      </c>
      <c r="AP28" s="50"/>
      <c r="AQ28" s="50"/>
      <c r="AR28" s="52">
        <f t="shared" si="11"/>
        <v>0</v>
      </c>
      <c r="AS28" s="50"/>
      <c r="AT28" s="50"/>
      <c r="AU28" s="52">
        <f t="shared" si="12"/>
        <v>0</v>
      </c>
      <c r="AV28" s="50"/>
      <c r="AW28" s="50"/>
      <c r="AX28" s="52">
        <f t="shared" si="13"/>
        <v>0</v>
      </c>
      <c r="AY28" s="50"/>
      <c r="AZ28" s="50"/>
      <c r="BA28" s="52">
        <f t="shared" si="14"/>
        <v>0</v>
      </c>
      <c r="BB28" s="50"/>
      <c r="BC28" s="50"/>
      <c r="BD28" s="52">
        <f t="shared" si="15"/>
        <v>0</v>
      </c>
      <c r="BE28" s="50"/>
      <c r="BF28" s="50"/>
      <c r="BG28" s="52">
        <f t="shared" si="16"/>
        <v>0</v>
      </c>
      <c r="BH28" s="50"/>
      <c r="BI28" s="50"/>
      <c r="BJ28" s="52">
        <f t="shared" si="17"/>
        <v>0</v>
      </c>
      <c r="BK28" s="50"/>
      <c r="BL28" s="50"/>
      <c r="BM28" s="52">
        <f t="shared" si="18"/>
        <v>0</v>
      </c>
      <c r="BN28" s="50"/>
      <c r="BO28" s="50"/>
      <c r="BP28" s="52">
        <f t="shared" si="19"/>
        <v>0</v>
      </c>
      <c r="BQ28" s="50"/>
      <c r="BR28" s="50"/>
      <c r="BS28" s="52">
        <f t="shared" si="20"/>
        <v>0</v>
      </c>
      <c r="BT28" s="50"/>
      <c r="BU28" s="50"/>
      <c r="BV28" s="52">
        <f t="shared" si="21"/>
        <v>0</v>
      </c>
      <c r="BW28" s="36">
        <f t="shared" si="23"/>
        <v>0</v>
      </c>
      <c r="BX28" s="36">
        <f t="shared" si="23"/>
        <v>0</v>
      </c>
      <c r="BY28" s="36">
        <f t="shared" si="24"/>
        <v>0</v>
      </c>
      <c r="BZ28" s="36">
        <f t="shared" si="25"/>
        <v>0</v>
      </c>
      <c r="CA28" s="36">
        <f t="shared" si="25"/>
        <v>0</v>
      </c>
      <c r="CB28" s="36">
        <f t="shared" si="26"/>
        <v>0</v>
      </c>
    </row>
    <row r="29" spans="1:82" outlineLevel="1" x14ac:dyDescent="0.2">
      <c r="A29" s="33">
        <v>319</v>
      </c>
      <c r="B29" s="49" t="s">
        <v>44</v>
      </c>
      <c r="C29" s="50"/>
      <c r="D29" s="51"/>
      <c r="E29" s="52">
        <f t="shared" si="22"/>
        <v>0</v>
      </c>
      <c r="F29" s="50"/>
      <c r="G29" s="51"/>
      <c r="H29" s="52">
        <f t="shared" si="27"/>
        <v>0</v>
      </c>
      <c r="I29" s="50"/>
      <c r="J29" s="51"/>
      <c r="K29" s="52">
        <f t="shared" si="0"/>
        <v>0</v>
      </c>
      <c r="L29" s="50">
        <v>6696268</v>
      </c>
      <c r="M29" s="51"/>
      <c r="N29" s="52">
        <f t="shared" si="1"/>
        <v>6696268</v>
      </c>
      <c r="O29" s="50">
        <v>348840</v>
      </c>
      <c r="P29" s="51"/>
      <c r="Q29" s="52">
        <f t="shared" si="2"/>
        <v>348840</v>
      </c>
      <c r="R29" s="50">
        <v>348840</v>
      </c>
      <c r="S29" s="51"/>
      <c r="T29" s="52">
        <f t="shared" si="3"/>
        <v>348840</v>
      </c>
      <c r="U29" s="50">
        <f>1239999+2000</f>
        <v>1241999</v>
      </c>
      <c r="V29" s="51"/>
      <c r="W29" s="52">
        <f t="shared" si="4"/>
        <v>1241999</v>
      </c>
      <c r="X29" s="48">
        <v>2000</v>
      </c>
      <c r="Y29" s="51"/>
      <c r="Z29" s="52">
        <f t="shared" si="5"/>
        <v>2000</v>
      </c>
      <c r="AA29" s="50"/>
      <c r="AB29" s="51"/>
      <c r="AC29" s="52">
        <f t="shared" si="6"/>
        <v>0</v>
      </c>
      <c r="AD29" s="50"/>
      <c r="AE29" s="51"/>
      <c r="AF29" s="52">
        <f t="shared" si="7"/>
        <v>0</v>
      </c>
      <c r="AG29" s="50">
        <v>100000</v>
      </c>
      <c r="AH29" s="51"/>
      <c r="AI29" s="52">
        <f t="shared" si="8"/>
        <v>100000</v>
      </c>
      <c r="AJ29" s="45">
        <v>100000</v>
      </c>
      <c r="AK29" s="51"/>
      <c r="AL29" s="52">
        <f t="shared" si="9"/>
        <v>100000</v>
      </c>
      <c r="AM29" s="50"/>
      <c r="AN29" s="51"/>
      <c r="AO29" s="52">
        <f t="shared" si="10"/>
        <v>0</v>
      </c>
      <c r="AP29" s="50"/>
      <c r="AQ29" s="51"/>
      <c r="AR29" s="52">
        <f t="shared" si="11"/>
        <v>0</v>
      </c>
      <c r="AS29" s="50">
        <f>53000+16123.2</f>
        <v>69123.199999999997</v>
      </c>
      <c r="AT29" s="51">
        <v>105000</v>
      </c>
      <c r="AU29" s="52">
        <f t="shared" si="12"/>
        <v>174123.2</v>
      </c>
      <c r="AV29" s="50">
        <f>53000+16123.2</f>
        <v>69123.199999999997</v>
      </c>
      <c r="AW29" s="51">
        <v>105000</v>
      </c>
      <c r="AX29" s="52">
        <f t="shared" si="13"/>
        <v>174123.2</v>
      </c>
      <c r="AY29" s="50">
        <f>15000</f>
        <v>15000</v>
      </c>
      <c r="AZ29" s="51"/>
      <c r="BA29" s="52">
        <f t="shared" si="14"/>
        <v>15000</v>
      </c>
      <c r="BB29" s="48">
        <v>54000</v>
      </c>
      <c r="BC29" s="51"/>
      <c r="BD29" s="52">
        <f t="shared" si="15"/>
        <v>54000</v>
      </c>
      <c r="BE29" s="50">
        <v>68500</v>
      </c>
      <c r="BF29" s="51">
        <v>8120</v>
      </c>
      <c r="BG29" s="52">
        <f t="shared" si="16"/>
        <v>76620</v>
      </c>
      <c r="BH29" s="50"/>
      <c r="BI29" s="51"/>
      <c r="BJ29" s="52">
        <f t="shared" si="17"/>
        <v>0</v>
      </c>
      <c r="BK29" s="50"/>
      <c r="BL29" s="51"/>
      <c r="BM29" s="52">
        <f t="shared" si="18"/>
        <v>0</v>
      </c>
      <c r="BN29" s="50"/>
      <c r="BO29" s="51"/>
      <c r="BP29" s="52">
        <f t="shared" si="19"/>
        <v>0</v>
      </c>
      <c r="BQ29" s="50"/>
      <c r="BR29" s="51"/>
      <c r="BS29" s="52">
        <f t="shared" si="20"/>
        <v>0</v>
      </c>
      <c r="BT29" s="50"/>
      <c r="BU29" s="51"/>
      <c r="BV29" s="52">
        <f t="shared" si="21"/>
        <v>0</v>
      </c>
      <c r="BW29" s="36">
        <f t="shared" si="23"/>
        <v>1843462.2</v>
      </c>
      <c r="BX29" s="36">
        <f t="shared" si="23"/>
        <v>113120</v>
      </c>
      <c r="BY29" s="36">
        <f t="shared" si="24"/>
        <v>1956582.2</v>
      </c>
      <c r="BZ29" s="36">
        <f t="shared" si="25"/>
        <v>7270231.2000000002</v>
      </c>
      <c r="CA29" s="36">
        <f t="shared" si="25"/>
        <v>105000</v>
      </c>
      <c r="CB29" s="36">
        <f t="shared" si="26"/>
        <v>7375231.2000000002</v>
      </c>
      <c r="CD29" s="16"/>
    </row>
    <row r="30" spans="1:82" s="57" customFormat="1" x14ac:dyDescent="0.2">
      <c r="A30" s="53"/>
      <c r="B30" s="54" t="s">
        <v>45</v>
      </c>
      <c r="C30" s="55">
        <f>C12+C14+C16+C18+C20+C21+C22+C24+C26+C27+C28+C29</f>
        <v>0</v>
      </c>
      <c r="D30" s="55">
        <f>D12+D14+D16+D18+D20+D21+D22+D24+D26+D27+D28+D29</f>
        <v>0</v>
      </c>
      <c r="E30" s="55">
        <f t="shared" si="22"/>
        <v>0</v>
      </c>
      <c r="F30" s="55">
        <f>F12+F14+F16+F18+F20+F21+F22+F24+F26+F27+F28+F29</f>
        <v>417791.1</v>
      </c>
      <c r="G30" s="55">
        <f>G12+G14+G16+G18+G20+G21+G22+G24+G26+G27+G28+G29</f>
        <v>232210</v>
      </c>
      <c r="H30" s="55"/>
      <c r="I30" s="55">
        <f>I12+I14+I16+I18+I20+I21+I22+I24+I26+I27+I28+I29</f>
        <v>0</v>
      </c>
      <c r="J30" s="55">
        <f>J12+J14+J16+J18+J20+J21+J22+J24+J26+J27+J28+J29</f>
        <v>0</v>
      </c>
      <c r="K30" s="55">
        <f t="shared" si="0"/>
        <v>0</v>
      </c>
      <c r="L30" s="55">
        <f>L12+L14+L16+L18+L20+L21+L22+L24+L26+L27+L28+L29</f>
        <v>6994302.5999999996</v>
      </c>
      <c r="M30" s="55">
        <f>M12+M14+M16+M18+M20+M21+M22+M24+M26+M27+M28+M29</f>
        <v>172400</v>
      </c>
      <c r="N30" s="55">
        <f t="shared" si="1"/>
        <v>7166702.5999999996</v>
      </c>
      <c r="O30" s="55">
        <f>O12+O14+O16+O18+O20+O21+O22+O24+O26+O27+O28+O29</f>
        <v>2698105.55</v>
      </c>
      <c r="P30" s="55">
        <f>P12+P14+P16+P18+P20+P21+P22+P24+P26+P27+P28+P29</f>
        <v>268010</v>
      </c>
      <c r="Q30" s="55">
        <f t="shared" si="2"/>
        <v>2966115.55</v>
      </c>
      <c r="R30" s="55">
        <f>R12+R14+R16+R18+R20+R21+R22+R24+R26+R27+R28+R29</f>
        <v>2948105.55</v>
      </c>
      <c r="S30" s="55">
        <f>S12+S14+S16+S18+S20+S21+S22+S24+S26+S27+S28+S29</f>
        <v>268010</v>
      </c>
      <c r="T30" s="55">
        <f t="shared" si="3"/>
        <v>3216115.55</v>
      </c>
      <c r="U30" s="55">
        <f>U12+U14+U16+U18+U20+U21+U22+U24+U26+U27+U28+U29</f>
        <v>2468718.44</v>
      </c>
      <c r="V30" s="55">
        <f>V12+V14+V16+V18+V20+V21+V22+V24+V26+V27+V28+V29</f>
        <v>545358</v>
      </c>
      <c r="W30" s="55">
        <f t="shared" si="4"/>
        <v>3014076.44</v>
      </c>
      <c r="X30" s="55">
        <f>X12+X14+X16+X18+X20+X21+X22+X24+X26+X27+X28+X29</f>
        <v>2468718.44</v>
      </c>
      <c r="Y30" s="55">
        <f>Y12+Y14+Y16+Y18+Y20+Y21+Y22+Y24+Y26+Y27+Y28+Y29</f>
        <v>545358</v>
      </c>
      <c r="Z30" s="55">
        <f t="shared" si="5"/>
        <v>3014076.44</v>
      </c>
      <c r="AA30" s="55">
        <f>AA12+AA14+AA16+AA18+AA20+AA21+AA22+AA24+AA26+AA27+AA28+AA29</f>
        <v>1147820.8700000001</v>
      </c>
      <c r="AB30" s="55">
        <f>AB12+AB14+AB16+AB18+AB20+AB21+AB22+AB24+AB26+AB27+AB28+AB29</f>
        <v>717530</v>
      </c>
      <c r="AC30" s="55">
        <f t="shared" si="6"/>
        <v>1865350.87</v>
      </c>
      <c r="AD30" s="55">
        <f>AD12+AD14+AD16+AD18+AD20+AD21+AD22+AD24+AD26+AD27+AD28+AD29</f>
        <v>1147820.8700000001</v>
      </c>
      <c r="AE30" s="55">
        <f>AE12+AE14+AE16+AE18+AE20+AE21+AE22+AE24+AE26+AE27+AE28+AE29</f>
        <v>717530</v>
      </c>
      <c r="AF30" s="55">
        <f t="shared" si="7"/>
        <v>1865350.87</v>
      </c>
      <c r="AG30" s="55">
        <f>AG12+AG14+AG16+AG18+AG20+AG21+AG22+AG24+AG26+AG27+AG28+AG29</f>
        <v>2899033.33</v>
      </c>
      <c r="AH30" s="55">
        <f>AH12+AH14+AH16+AH18+AH20+AH21+AH22+AH24+AH26+AH27+AH28+AH29</f>
        <v>662378</v>
      </c>
      <c r="AI30" s="55">
        <f t="shared" si="8"/>
        <v>3561411.33</v>
      </c>
      <c r="AJ30" s="55">
        <f>AJ12+AJ14+AJ16+AJ18+AJ20+AJ21+AJ22+AJ24+AJ26+AJ27+AJ28+AJ29</f>
        <v>2899033.33</v>
      </c>
      <c r="AK30" s="55">
        <f>AK12+AK14+AK16+AK18+AK20+AK21+AK22+AK24+AK26+AK27+AK28+AK29</f>
        <v>662378</v>
      </c>
      <c r="AL30" s="55">
        <f t="shared" si="9"/>
        <v>3561411.33</v>
      </c>
      <c r="AM30" s="55">
        <f>AM12+AM14+AM16+AM18+AM20+AM21+AM22+AM24+AM26+AM27+AM28+AM29</f>
        <v>1196245.5899999999</v>
      </c>
      <c r="AN30" s="55">
        <f>AN12+AN14+AN16+AN18+AN20+AN21+AN22+AN24+AN26+AN27+AN28+AN29</f>
        <v>231375</v>
      </c>
      <c r="AO30" s="55">
        <f t="shared" si="10"/>
        <v>1427620.5899999999</v>
      </c>
      <c r="AP30" s="55">
        <f>AP12+AP14+AP16+AP18+AP20+AP21+AP22+AP24+AP26+AP27+AP28+AP29</f>
        <v>1196245.5899999999</v>
      </c>
      <c r="AQ30" s="55">
        <f>AQ12+AQ14+AQ16+AQ18+AQ20+AQ21+AQ22+AQ24+AQ26+AQ27+AQ28+AQ29</f>
        <v>231375</v>
      </c>
      <c r="AR30" s="55">
        <f t="shared" si="11"/>
        <v>1427620.5899999999</v>
      </c>
      <c r="AS30" s="55">
        <f>AS12+AS14+AS16+AS18+AS20+AS21+AS22+AS24+AS26+AS27+AS28+AS29</f>
        <v>333531.7</v>
      </c>
      <c r="AT30" s="55">
        <f>AT12+AT14+AT16+AT18+AT20+AT21+AT22+AT24+AT26+AT27+AT28+AT29</f>
        <v>407092</v>
      </c>
      <c r="AU30" s="55">
        <f t="shared" si="12"/>
        <v>740623.7</v>
      </c>
      <c r="AV30" s="55">
        <f>AV12+AV14+AV16+AV18+AV20+AV21+AV22+AV24+AV26+AV27+AV28+AV29</f>
        <v>333531.7</v>
      </c>
      <c r="AW30" s="55">
        <f>AW12+AW14+AW16+AW18+AW20+AW21+AW22+AW24+AW26+AW27+AW28+AW29</f>
        <v>407092</v>
      </c>
      <c r="AX30" s="55">
        <f t="shared" si="13"/>
        <v>740623.7</v>
      </c>
      <c r="AY30" s="55">
        <f>AY12+AY14+AY16+AY18+AY20+AY21+AY22+AY24+AY26+AY27+AY28+AY29</f>
        <v>1177866.5</v>
      </c>
      <c r="AZ30" s="55">
        <f>AZ12+AZ14+AZ16+AZ18+AZ20+AZ21+AZ22+AZ24+AZ26+AZ27+AZ28+AZ29</f>
        <v>285710</v>
      </c>
      <c r="BA30" s="55">
        <f t="shared" si="14"/>
        <v>1463576.5</v>
      </c>
      <c r="BB30" s="55">
        <f>BB12+BB14+BB16+BB18+BB20+BB21+BB22+BB24+BB26+BB27+BB28+BB29</f>
        <v>1216866.5</v>
      </c>
      <c r="BC30" s="55">
        <f>BC12+BC14+BC16+BC18+BC20+BC21+BC22+BC24+BC26+BC27+BC28+BC29</f>
        <v>285710</v>
      </c>
      <c r="BD30" s="55">
        <f t="shared" si="15"/>
        <v>1502576.5</v>
      </c>
      <c r="BE30" s="55">
        <f>BE12+BE14+BE16+BE18+BE20+BE21+BE22+BE24+BE26+BE27+BE28+BE29</f>
        <v>652067.42000000004</v>
      </c>
      <c r="BF30" s="55">
        <f>BF12+BF14+BF16+BF18+BF20+BF21+BF22+BF24+BF26+BF27+BF28+BF29</f>
        <v>417913</v>
      </c>
      <c r="BG30" s="55">
        <f t="shared" si="16"/>
        <v>1069980.42</v>
      </c>
      <c r="BH30" s="55">
        <f>BH12+BH14+BH16+BH18+BH20+BH21+BH22+BH24+BH26+BH27+BH28+BH29</f>
        <v>0</v>
      </c>
      <c r="BI30" s="55">
        <f>BI12+BI14+BI16+BI18+BI20+BI21+BI22+BI24+BI26+BI27+BI28+BI29</f>
        <v>0</v>
      </c>
      <c r="BJ30" s="55">
        <f t="shared" si="17"/>
        <v>0</v>
      </c>
      <c r="BK30" s="55">
        <f>BK12+BK14+BK16+BK18+BK20+BK21+BK22+BK24+BK26+BK27+BK28+BK29</f>
        <v>0</v>
      </c>
      <c r="BL30" s="55">
        <f>BL12+BL14+BL16+BL18+BL20+BL21+BL22+BL24+BL26+BL27+BL28+BL29</f>
        <v>0</v>
      </c>
      <c r="BM30" s="55">
        <f t="shared" si="18"/>
        <v>0</v>
      </c>
      <c r="BN30" s="55">
        <f>BN12+BN14+BN16+BN18+BN20+BN21+BN22+BN24+BN26+BN27+BN28+BN29</f>
        <v>0</v>
      </c>
      <c r="BO30" s="55">
        <f>BO12+BO14+BO16+BO18+BO20+BO21+BO22+BO24+BO26+BO27+BO28+BO29</f>
        <v>0</v>
      </c>
      <c r="BP30" s="55">
        <f t="shared" si="19"/>
        <v>0</v>
      </c>
      <c r="BQ30" s="55">
        <f>BQ12+BQ14+BQ16+BQ18+BQ20+BQ21+BQ22+BQ24+BQ26+BQ27+BQ28+BQ29</f>
        <v>0</v>
      </c>
      <c r="BR30" s="55">
        <f>BR12+BR14+BR16+BR18+BR20+BR21+BR22+BR24+BR26+BR27+BR28+BR29</f>
        <v>0</v>
      </c>
      <c r="BS30" s="55">
        <f t="shared" si="20"/>
        <v>0</v>
      </c>
      <c r="BT30" s="55">
        <f>BT12+BT14+BT16+BT18+BT20+BT21+BT22+BT24+BT26+BT27+BT28+BT29</f>
        <v>0</v>
      </c>
      <c r="BU30" s="55">
        <f>BU12+BU14+BU16+BU18+BU20+BU21+BU22+BU24+BU26+BU27+BU28+BU29</f>
        <v>0</v>
      </c>
      <c r="BV30" s="55">
        <f t="shared" si="21"/>
        <v>0</v>
      </c>
      <c r="BW30" s="56">
        <f>BW12+BW14+BW16+BW18+BW20+BW21+BW22+BW24+BW26+BW27+BW28+BW29</f>
        <v>12573389.399999999</v>
      </c>
      <c r="BX30" s="56">
        <f>BX12+BX14+BX16+BX18+BX20+BX21+BX22+BX24+BX26+BX27+BX28+BX29</f>
        <v>3535366</v>
      </c>
      <c r="BY30" s="56">
        <f t="shared" si="24"/>
        <v>16108755.399999999</v>
      </c>
      <c r="BZ30" s="56">
        <f>BZ12+BZ14+BZ16+BZ18+BZ20+BZ21+BZ22+BZ24+BZ26+BZ27+BZ28+BZ29</f>
        <v>19622415.68</v>
      </c>
      <c r="CA30" s="56">
        <f>CA12+CA14+CA16+CA18+CA20+CA21+CA22+CA24+CA26+CA27+CA28+CA29</f>
        <v>3522063</v>
      </c>
      <c r="CB30" s="56">
        <f t="shared" si="26"/>
        <v>23144478.68</v>
      </c>
    </row>
    <row r="31" spans="1:82" ht="15" x14ac:dyDescent="0.2">
      <c r="A31" s="29" t="s">
        <v>46</v>
      </c>
      <c r="B31" s="29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31"/>
      <c r="BX31" s="31"/>
      <c r="BY31" s="31"/>
      <c r="BZ31" s="31"/>
      <c r="CA31" s="31"/>
      <c r="CB31" s="31"/>
    </row>
    <row r="32" spans="1:82" outlineLevel="1" x14ac:dyDescent="0.2">
      <c r="A32" s="33">
        <v>121</v>
      </c>
      <c r="B32" s="49" t="s">
        <v>47</v>
      </c>
      <c r="C32" s="50"/>
      <c r="D32" s="50"/>
      <c r="E32" s="52">
        <f t="shared" si="22"/>
        <v>0</v>
      </c>
      <c r="F32" s="48">
        <v>418010.02</v>
      </c>
      <c r="G32" s="50">
        <v>831</v>
      </c>
      <c r="H32" s="52">
        <f t="shared" ref="H32:H70" si="28">F32+G32</f>
        <v>418841.02</v>
      </c>
      <c r="I32" s="48"/>
      <c r="J32" s="48"/>
      <c r="K32" s="52">
        <f t="shared" ref="K32:K70" si="29">I32+J32</f>
        <v>0</v>
      </c>
      <c r="L32" s="48">
        <v>543077.16</v>
      </c>
      <c r="M32" s="48">
        <v>1071</v>
      </c>
      <c r="N32" s="52"/>
      <c r="O32" s="50">
        <f>1797000+506881.19</f>
        <v>2303881.19</v>
      </c>
      <c r="P32" s="50"/>
      <c r="Q32" s="52">
        <f t="shared" ref="Q32:Q70" si="30">O32+P32</f>
        <v>2303881.19</v>
      </c>
      <c r="R32" s="50">
        <f>1797000+506881.19</f>
        <v>2303881.19</v>
      </c>
      <c r="S32" s="50"/>
      <c r="T32" s="52">
        <f t="shared" ref="T32:T70" si="31">R32+S32</f>
        <v>2303881.19</v>
      </c>
      <c r="U32" s="50">
        <f>860229.62</f>
        <v>860229.62</v>
      </c>
      <c r="V32" s="50"/>
      <c r="W32" s="52">
        <f t="shared" ref="W32:W70" si="32">U32+V32</f>
        <v>860229.62</v>
      </c>
      <c r="X32" s="48">
        <v>1903743.62</v>
      </c>
      <c r="Y32" s="50"/>
      <c r="Z32" s="52">
        <f t="shared" ref="Z32:Z70" si="33">X32+Y32</f>
        <v>1903743.62</v>
      </c>
      <c r="AA32" s="50">
        <v>815638.73</v>
      </c>
      <c r="AB32" s="50"/>
      <c r="AC32" s="52">
        <f t="shared" ref="AC32:AC70" si="34">AA32+AB32</f>
        <v>815638.73</v>
      </c>
      <c r="AD32" s="48">
        <v>815638.73</v>
      </c>
      <c r="AE32" s="50"/>
      <c r="AF32" s="52">
        <f t="shared" ref="AF32:AF70" si="35">AD32+AE32</f>
        <v>815638.73</v>
      </c>
      <c r="AG32" s="50">
        <v>2856905.36</v>
      </c>
      <c r="AH32" s="50"/>
      <c r="AI32" s="52">
        <f t="shared" ref="AI32:AI70" si="36">AG32+AH32</f>
        <v>2856905.36</v>
      </c>
      <c r="AJ32" s="50">
        <v>2856905.36</v>
      </c>
      <c r="AK32" s="50"/>
      <c r="AL32" s="52">
        <f t="shared" ref="AL32:AL70" si="37">AJ32+AK32</f>
        <v>2856905.36</v>
      </c>
      <c r="AM32" s="50">
        <v>594998.15</v>
      </c>
      <c r="AN32" s="50"/>
      <c r="AO32" s="52">
        <f t="shared" ref="AO32:AO70" si="38">AM32+AN32</f>
        <v>594998.15</v>
      </c>
      <c r="AP32" s="48">
        <v>594998.15</v>
      </c>
      <c r="AQ32" s="50"/>
      <c r="AR32" s="52">
        <f t="shared" ref="AR32:AR70" si="39">AP32+AQ32</f>
        <v>594998.15</v>
      </c>
      <c r="AS32" s="50">
        <v>473810.1</v>
      </c>
      <c r="AT32" s="50"/>
      <c r="AU32" s="52">
        <f t="shared" ref="AU32:AU70" si="40">AS32+AT32</f>
        <v>473810.1</v>
      </c>
      <c r="AV32" s="50">
        <v>473810.1</v>
      </c>
      <c r="AW32" s="50">
        <v>85388</v>
      </c>
      <c r="AX32" s="52">
        <f t="shared" ref="AX32:AX70" si="41">AV32+AW32</f>
        <v>559198.1</v>
      </c>
      <c r="AY32" s="50">
        <f>634318.43</f>
        <v>634318.43000000005</v>
      </c>
      <c r="AZ32" s="50">
        <v>4681</v>
      </c>
      <c r="BA32" s="52">
        <f t="shared" ref="BA32:BA70" si="42">AY32+AZ32</f>
        <v>638999.43000000005</v>
      </c>
      <c r="BB32" s="48">
        <v>634318.43000000005</v>
      </c>
      <c r="BC32" s="50">
        <v>4681</v>
      </c>
      <c r="BD32" s="52">
        <f t="shared" ref="BD32:BD70" si="43">BB32+BC32</f>
        <v>638999.43000000005</v>
      </c>
      <c r="BE32" s="50">
        <v>548552.47</v>
      </c>
      <c r="BF32" s="50">
        <v>50521</v>
      </c>
      <c r="BG32" s="52">
        <f t="shared" ref="BG32:BG70" si="44">BE32+BF32</f>
        <v>599073.47</v>
      </c>
      <c r="BH32" s="48"/>
      <c r="BI32" s="50"/>
      <c r="BJ32" s="52">
        <f t="shared" ref="BJ32:BJ70" si="45">BH32+BI32</f>
        <v>0</v>
      </c>
      <c r="BK32" s="50"/>
      <c r="BL32" s="50"/>
      <c r="BM32" s="52">
        <f t="shared" ref="BM32:BM70" si="46">BK32+BL32</f>
        <v>0</v>
      </c>
      <c r="BN32" s="48"/>
      <c r="BO32" s="50"/>
      <c r="BP32" s="52">
        <f t="shared" ref="BP32:BP70" si="47">BN32+BO32</f>
        <v>0</v>
      </c>
      <c r="BQ32" s="50"/>
      <c r="BR32" s="50"/>
      <c r="BS32" s="52">
        <f t="shared" ref="BS32:BS70" si="48">BQ32+BR32</f>
        <v>0</v>
      </c>
      <c r="BT32" s="48"/>
      <c r="BU32" s="50"/>
      <c r="BV32" s="52">
        <f t="shared" ref="BV32:BV70" si="49">BT32+BU32</f>
        <v>0</v>
      </c>
      <c r="BW32" s="36">
        <f t="shared" si="23"/>
        <v>9088334.0500000007</v>
      </c>
      <c r="BX32" s="36">
        <f t="shared" si="23"/>
        <v>55202</v>
      </c>
      <c r="BY32" s="36">
        <f t="shared" si="24"/>
        <v>9143536.0500000007</v>
      </c>
      <c r="BZ32" s="36">
        <f t="shared" si="25"/>
        <v>10544382.76</v>
      </c>
      <c r="CA32" s="36">
        <f t="shared" si="25"/>
        <v>91971</v>
      </c>
      <c r="CB32" s="36">
        <f t="shared" si="26"/>
        <v>10636353.76</v>
      </c>
    </row>
    <row r="33" spans="1:80" s="44" customFormat="1" ht="24" outlineLevel="1" x14ac:dyDescent="0.2">
      <c r="A33" s="38"/>
      <c r="B33" s="39" t="s">
        <v>48</v>
      </c>
      <c r="C33" s="59"/>
      <c r="D33" s="59"/>
      <c r="E33" s="60">
        <f t="shared" si="22"/>
        <v>0</v>
      </c>
      <c r="F33" s="59"/>
      <c r="G33" s="59"/>
      <c r="H33" s="60">
        <f t="shared" si="28"/>
        <v>0</v>
      </c>
      <c r="I33" s="59"/>
      <c r="J33" s="59"/>
      <c r="K33" s="60">
        <f t="shared" si="29"/>
        <v>0</v>
      </c>
      <c r="L33" s="59"/>
      <c r="M33" s="59"/>
      <c r="N33" s="60">
        <f t="shared" ref="N33:N70" si="50">L33+M33</f>
        <v>0</v>
      </c>
      <c r="O33" s="59"/>
      <c r="P33" s="59"/>
      <c r="Q33" s="60">
        <f t="shared" si="30"/>
        <v>0</v>
      </c>
      <c r="R33" s="59"/>
      <c r="S33" s="59"/>
      <c r="T33" s="60">
        <f t="shared" si="31"/>
        <v>0</v>
      </c>
      <c r="U33" s="59"/>
      <c r="V33" s="59"/>
      <c r="W33" s="60">
        <f t="shared" si="32"/>
        <v>0</v>
      </c>
      <c r="X33" s="59"/>
      <c r="Y33" s="59"/>
      <c r="Z33" s="60">
        <f t="shared" si="33"/>
        <v>0</v>
      </c>
      <c r="AA33" s="59"/>
      <c r="AB33" s="59"/>
      <c r="AC33" s="60">
        <f t="shared" si="34"/>
        <v>0</v>
      </c>
      <c r="AD33" s="59"/>
      <c r="AE33" s="59"/>
      <c r="AF33" s="60">
        <f t="shared" si="35"/>
        <v>0</v>
      </c>
      <c r="AG33" s="59"/>
      <c r="AH33" s="59"/>
      <c r="AI33" s="60">
        <f t="shared" si="36"/>
        <v>0</v>
      </c>
      <c r="AJ33" s="59"/>
      <c r="AK33" s="59"/>
      <c r="AL33" s="60">
        <f t="shared" si="37"/>
        <v>0</v>
      </c>
      <c r="AM33" s="59"/>
      <c r="AN33" s="59"/>
      <c r="AO33" s="60">
        <f t="shared" si="38"/>
        <v>0</v>
      </c>
      <c r="AP33" s="59"/>
      <c r="AQ33" s="59"/>
      <c r="AR33" s="60">
        <f t="shared" si="39"/>
        <v>0</v>
      </c>
      <c r="AS33" s="59"/>
      <c r="AT33" s="59"/>
      <c r="AU33" s="60">
        <f t="shared" si="40"/>
        <v>0</v>
      </c>
      <c r="AV33" s="59"/>
      <c r="AW33" s="59"/>
      <c r="AX33" s="60">
        <f t="shared" si="41"/>
        <v>0</v>
      </c>
      <c r="AY33" s="59"/>
      <c r="AZ33" s="59"/>
      <c r="BA33" s="60">
        <f t="shared" si="42"/>
        <v>0</v>
      </c>
      <c r="BB33" s="59"/>
      <c r="BC33" s="59"/>
      <c r="BD33" s="60">
        <f t="shared" si="43"/>
        <v>0</v>
      </c>
      <c r="BE33" s="59"/>
      <c r="BF33" s="59"/>
      <c r="BG33" s="60">
        <f t="shared" si="44"/>
        <v>0</v>
      </c>
      <c r="BH33" s="59"/>
      <c r="BI33" s="59"/>
      <c r="BJ33" s="60">
        <f t="shared" si="45"/>
        <v>0</v>
      </c>
      <c r="BK33" s="59"/>
      <c r="BL33" s="59"/>
      <c r="BM33" s="60">
        <f t="shared" si="46"/>
        <v>0</v>
      </c>
      <c r="BN33" s="59"/>
      <c r="BO33" s="59"/>
      <c r="BP33" s="60">
        <f t="shared" si="47"/>
        <v>0</v>
      </c>
      <c r="BQ33" s="59"/>
      <c r="BR33" s="59"/>
      <c r="BS33" s="60">
        <f t="shared" si="48"/>
        <v>0</v>
      </c>
      <c r="BT33" s="59"/>
      <c r="BU33" s="59"/>
      <c r="BV33" s="60">
        <f t="shared" si="49"/>
        <v>0</v>
      </c>
      <c r="BW33" s="43">
        <f t="shared" si="23"/>
        <v>0</v>
      </c>
      <c r="BX33" s="43">
        <f t="shared" si="23"/>
        <v>0</v>
      </c>
      <c r="BY33" s="43">
        <f t="shared" si="24"/>
        <v>0</v>
      </c>
      <c r="BZ33" s="43">
        <f t="shared" si="25"/>
        <v>0</v>
      </c>
      <c r="CA33" s="43">
        <f t="shared" si="25"/>
        <v>0</v>
      </c>
      <c r="CB33" s="43">
        <f t="shared" si="26"/>
        <v>0</v>
      </c>
    </row>
    <row r="34" spans="1:80" outlineLevel="1" x14ac:dyDescent="0.2">
      <c r="A34" s="33">
        <v>122</v>
      </c>
      <c r="B34" s="49" t="s">
        <v>49</v>
      </c>
      <c r="C34" s="51"/>
      <c r="D34" s="51"/>
      <c r="E34" s="52">
        <f t="shared" si="22"/>
        <v>0</v>
      </c>
      <c r="F34" s="62">
        <v>9779</v>
      </c>
      <c r="G34" s="51">
        <f>159950+15535</f>
        <v>175485</v>
      </c>
      <c r="H34" s="52">
        <f t="shared" si="28"/>
        <v>185264</v>
      </c>
      <c r="I34" s="62"/>
      <c r="J34" s="62"/>
      <c r="K34" s="52">
        <f t="shared" si="29"/>
        <v>0</v>
      </c>
      <c r="L34" s="62">
        <v>9779</v>
      </c>
      <c r="M34" s="62">
        <f>143636+15535+7600</f>
        <v>166771</v>
      </c>
      <c r="N34" s="52">
        <f t="shared" si="50"/>
        <v>176550</v>
      </c>
      <c r="O34" s="51">
        <v>9779</v>
      </c>
      <c r="P34" s="51">
        <f>139686+15535</f>
        <v>155221</v>
      </c>
      <c r="Q34" s="52">
        <f t="shared" si="30"/>
        <v>165000</v>
      </c>
      <c r="R34" s="62">
        <v>9779</v>
      </c>
      <c r="S34" s="51">
        <f>139686+26500+15535</f>
        <v>181721</v>
      </c>
      <c r="T34" s="52">
        <f t="shared" si="31"/>
        <v>191500</v>
      </c>
      <c r="U34" s="62">
        <v>9779</v>
      </c>
      <c r="V34" s="51">
        <f>124286+29400+18535+1700+2600+12500+24374</f>
        <v>213395</v>
      </c>
      <c r="W34" s="52">
        <f t="shared" si="32"/>
        <v>223174</v>
      </c>
      <c r="X34" s="62">
        <v>9779</v>
      </c>
      <c r="Y34" s="62">
        <f>124286+29400+18535+1700+2600+12500+24374</f>
        <v>213395</v>
      </c>
      <c r="Z34" s="52">
        <f t="shared" si="33"/>
        <v>223174</v>
      </c>
      <c r="AA34" s="51">
        <f>1093.33+9512.7</f>
        <v>10606.03</v>
      </c>
      <c r="AB34" s="51">
        <f>40135+139070+50200+17400+5600+4800+2600+5200</f>
        <v>265005</v>
      </c>
      <c r="AC34" s="52">
        <f t="shared" si="34"/>
        <v>275611.03000000003</v>
      </c>
      <c r="AD34" s="62">
        <v>10606.03</v>
      </c>
      <c r="AE34" s="62">
        <f>40135+139070+50200+17400+5600+4800+2600+5200</f>
        <v>265005</v>
      </c>
      <c r="AF34" s="52">
        <f t="shared" si="35"/>
        <v>275611.03000000003</v>
      </c>
      <c r="AG34" s="51">
        <v>15952.33</v>
      </c>
      <c r="AH34" s="51">
        <f>190000+48020+77533+3700+47300+5500+5850+6000+39365+5908+24108+17850+27950</f>
        <v>499084</v>
      </c>
      <c r="AI34" s="52">
        <f t="shared" si="36"/>
        <v>515036.33</v>
      </c>
      <c r="AJ34" s="51">
        <v>15952.33</v>
      </c>
      <c r="AK34" s="51">
        <f>190000+48020+77533+3700+47300+5500+5850+6000+39365+5908+24108+17850+27950</f>
        <v>499084</v>
      </c>
      <c r="AL34" s="52">
        <f t="shared" si="37"/>
        <v>515036.33</v>
      </c>
      <c r="AM34" s="51">
        <v>21956.91</v>
      </c>
      <c r="AN34" s="51">
        <v>379229</v>
      </c>
      <c r="AO34" s="52">
        <f t="shared" si="38"/>
        <v>401185.91</v>
      </c>
      <c r="AP34" s="62">
        <v>21956.91</v>
      </c>
      <c r="AQ34" s="51">
        <v>379229</v>
      </c>
      <c r="AR34" s="52">
        <f t="shared" si="39"/>
        <v>401185.91</v>
      </c>
      <c r="AS34" s="51">
        <v>32841.370000000003</v>
      </c>
      <c r="AT34" s="51">
        <v>307576</v>
      </c>
      <c r="AU34" s="52">
        <f t="shared" si="40"/>
        <v>340417.37</v>
      </c>
      <c r="AV34" s="51">
        <v>32841.370000000003</v>
      </c>
      <c r="AW34" s="51">
        <f>307576+56029</f>
        <v>363605</v>
      </c>
      <c r="AX34" s="52">
        <f t="shared" si="41"/>
        <v>396446.37</v>
      </c>
      <c r="AY34" s="51">
        <f>8719.25</f>
        <v>8719.25</v>
      </c>
      <c r="AZ34" s="51">
        <v>155028</v>
      </c>
      <c r="BA34" s="52">
        <f t="shared" si="42"/>
        <v>163747.25</v>
      </c>
      <c r="BB34" s="62">
        <v>32689.25</v>
      </c>
      <c r="BC34" s="51">
        <f>66880+88148</f>
        <v>155028</v>
      </c>
      <c r="BD34" s="52">
        <f t="shared" si="43"/>
        <v>187717.25</v>
      </c>
      <c r="BE34" s="51">
        <v>18514.060000000001</v>
      </c>
      <c r="BF34" s="51">
        <v>226338</v>
      </c>
      <c r="BG34" s="52">
        <f t="shared" si="44"/>
        <v>244852.06</v>
      </c>
      <c r="BH34" s="51"/>
      <c r="BI34" s="51"/>
      <c r="BJ34" s="52">
        <f t="shared" si="45"/>
        <v>0</v>
      </c>
      <c r="BK34" s="51"/>
      <c r="BL34" s="51"/>
      <c r="BM34" s="52">
        <f t="shared" si="46"/>
        <v>0</v>
      </c>
      <c r="BN34" s="62"/>
      <c r="BO34" s="51"/>
      <c r="BP34" s="52">
        <f t="shared" si="47"/>
        <v>0</v>
      </c>
      <c r="BQ34" s="51"/>
      <c r="BR34" s="51"/>
      <c r="BS34" s="52">
        <f t="shared" si="48"/>
        <v>0</v>
      </c>
      <c r="BT34" s="62"/>
      <c r="BU34" s="51"/>
      <c r="BV34" s="52">
        <f t="shared" si="49"/>
        <v>0</v>
      </c>
      <c r="BW34" s="36">
        <f t="shared" si="23"/>
        <v>128147.95000000001</v>
      </c>
      <c r="BX34" s="36">
        <f t="shared" si="23"/>
        <v>2200876</v>
      </c>
      <c r="BY34" s="36">
        <f t="shared" si="24"/>
        <v>2329023.9500000002</v>
      </c>
      <c r="BZ34" s="36">
        <f t="shared" si="25"/>
        <v>153161.89000000001</v>
      </c>
      <c r="CA34" s="36">
        <f t="shared" si="25"/>
        <v>2399323</v>
      </c>
      <c r="CB34" s="36">
        <f t="shared" si="26"/>
        <v>2552484.89</v>
      </c>
    </row>
    <row r="35" spans="1:80" ht="16.5" customHeight="1" outlineLevel="1" x14ac:dyDescent="0.2">
      <c r="A35" s="61">
        <v>123</v>
      </c>
      <c r="B35" s="49" t="s">
        <v>50</v>
      </c>
      <c r="C35" s="51"/>
      <c r="D35" s="51"/>
      <c r="E35" s="52">
        <f t="shared" si="22"/>
        <v>0</v>
      </c>
      <c r="F35" s="62">
        <v>5560</v>
      </c>
      <c r="G35" s="51"/>
      <c r="H35" s="52">
        <f t="shared" si="28"/>
        <v>5560</v>
      </c>
      <c r="I35" s="62"/>
      <c r="J35" s="51"/>
      <c r="K35" s="52">
        <f t="shared" si="29"/>
        <v>0</v>
      </c>
      <c r="L35" s="62">
        <v>5315</v>
      </c>
      <c r="M35" s="51"/>
      <c r="N35" s="52"/>
      <c r="O35" s="51">
        <v>6000</v>
      </c>
      <c r="P35" s="51"/>
      <c r="Q35" s="52">
        <f t="shared" si="30"/>
        <v>6000</v>
      </c>
      <c r="R35" s="62">
        <v>6000</v>
      </c>
      <c r="S35" s="51"/>
      <c r="T35" s="52">
        <f t="shared" si="31"/>
        <v>6000</v>
      </c>
      <c r="U35" s="62">
        <v>5615</v>
      </c>
      <c r="V35" s="51"/>
      <c r="W35" s="52">
        <f t="shared" si="32"/>
        <v>5615</v>
      </c>
      <c r="X35" s="62">
        <v>5615</v>
      </c>
      <c r="Y35" s="51"/>
      <c r="Z35" s="52">
        <f t="shared" si="33"/>
        <v>5615</v>
      </c>
      <c r="AA35" s="51">
        <v>6413.82</v>
      </c>
      <c r="AB35" s="51"/>
      <c r="AC35" s="52">
        <f t="shared" si="34"/>
        <v>6413.82</v>
      </c>
      <c r="AD35" s="62">
        <v>6413.82</v>
      </c>
      <c r="AE35" s="51"/>
      <c r="AF35" s="52">
        <f t="shared" si="35"/>
        <v>6413.82</v>
      </c>
      <c r="AG35" s="51">
        <v>8902</v>
      </c>
      <c r="AH35" s="51"/>
      <c r="AI35" s="52">
        <f t="shared" si="36"/>
        <v>8902</v>
      </c>
      <c r="AJ35" s="51">
        <v>8902</v>
      </c>
      <c r="AK35" s="51"/>
      <c r="AL35" s="52">
        <f t="shared" si="37"/>
        <v>8902</v>
      </c>
      <c r="AM35" s="51">
        <v>11397.57</v>
      </c>
      <c r="AN35" s="51"/>
      <c r="AO35" s="52">
        <f t="shared" si="38"/>
        <v>11397.57</v>
      </c>
      <c r="AP35" s="62">
        <v>11397.57</v>
      </c>
      <c r="AQ35" s="51"/>
      <c r="AR35" s="52">
        <f t="shared" si="39"/>
        <v>11397.57</v>
      </c>
      <c r="AS35" s="51">
        <v>17570.240000000002</v>
      </c>
      <c r="AT35" s="51"/>
      <c r="AU35" s="52">
        <f t="shared" si="40"/>
        <v>17570.240000000002</v>
      </c>
      <c r="AV35" s="51">
        <v>17570.240000000002</v>
      </c>
      <c r="AW35" s="51"/>
      <c r="AX35" s="52">
        <f t="shared" si="41"/>
        <v>17570.240000000002</v>
      </c>
      <c r="AY35" s="51">
        <v>4705.25</v>
      </c>
      <c r="AZ35" s="51"/>
      <c r="BA35" s="52">
        <f t="shared" si="42"/>
        <v>4705.25</v>
      </c>
      <c r="BB35" s="62">
        <v>17744.25</v>
      </c>
      <c r="BC35" s="51"/>
      <c r="BD35" s="52">
        <f t="shared" si="43"/>
        <v>17744.25</v>
      </c>
      <c r="BE35" s="51">
        <v>5210.1000000000004</v>
      </c>
      <c r="BF35" s="51"/>
      <c r="BG35" s="52">
        <f t="shared" si="44"/>
        <v>5210.1000000000004</v>
      </c>
      <c r="BH35" s="51"/>
      <c r="BI35" s="51"/>
      <c r="BJ35" s="52">
        <f t="shared" si="45"/>
        <v>0</v>
      </c>
      <c r="BK35" s="51"/>
      <c r="BL35" s="51"/>
      <c r="BM35" s="52">
        <f t="shared" si="46"/>
        <v>0</v>
      </c>
      <c r="BN35" s="62"/>
      <c r="BO35" s="51"/>
      <c r="BP35" s="52">
        <f t="shared" si="47"/>
        <v>0</v>
      </c>
      <c r="BQ35" s="51"/>
      <c r="BR35" s="51"/>
      <c r="BS35" s="52">
        <f t="shared" si="48"/>
        <v>0</v>
      </c>
      <c r="BT35" s="62"/>
      <c r="BU35" s="51"/>
      <c r="BV35" s="52">
        <f t="shared" si="49"/>
        <v>0</v>
      </c>
      <c r="BW35" s="36">
        <f t="shared" si="23"/>
        <v>65813.98000000001</v>
      </c>
      <c r="BX35" s="36">
        <f t="shared" si="23"/>
        <v>0</v>
      </c>
      <c r="BY35" s="36">
        <f t="shared" si="24"/>
        <v>65813.98000000001</v>
      </c>
      <c r="BZ35" s="36">
        <f t="shared" si="25"/>
        <v>84517.88</v>
      </c>
      <c r="CA35" s="36">
        <f t="shared" si="25"/>
        <v>0</v>
      </c>
      <c r="CB35" s="36">
        <f t="shared" si="26"/>
        <v>84517.88</v>
      </c>
    </row>
    <row r="36" spans="1:80" outlineLevel="1" x14ac:dyDescent="0.2">
      <c r="A36" s="33">
        <v>124</v>
      </c>
      <c r="B36" s="49" t="s">
        <v>51</v>
      </c>
      <c r="C36" s="51"/>
      <c r="D36" s="51"/>
      <c r="E36" s="52">
        <f t="shared" si="22"/>
        <v>0</v>
      </c>
      <c r="F36" s="51"/>
      <c r="G36" s="51"/>
      <c r="H36" s="52">
        <f t="shared" si="28"/>
        <v>0</v>
      </c>
      <c r="I36" s="51"/>
      <c r="J36" s="51"/>
      <c r="K36" s="52">
        <f t="shared" si="29"/>
        <v>0</v>
      </c>
      <c r="L36" s="51"/>
      <c r="M36" s="51"/>
      <c r="N36" s="52">
        <f t="shared" si="50"/>
        <v>0</v>
      </c>
      <c r="O36" s="51"/>
      <c r="P36" s="51"/>
      <c r="Q36" s="52">
        <f t="shared" si="30"/>
        <v>0</v>
      </c>
      <c r="R36" s="51"/>
      <c r="S36" s="51"/>
      <c r="T36" s="52">
        <f t="shared" si="31"/>
        <v>0</v>
      </c>
      <c r="U36" s="51"/>
      <c r="V36" s="51"/>
      <c r="W36" s="52">
        <f t="shared" si="32"/>
        <v>0</v>
      </c>
      <c r="X36" s="51"/>
      <c r="Y36" s="51"/>
      <c r="Z36" s="52">
        <f t="shared" si="33"/>
        <v>0</v>
      </c>
      <c r="AA36" s="51"/>
      <c r="AB36" s="51"/>
      <c r="AC36" s="52">
        <f t="shared" si="34"/>
        <v>0</v>
      </c>
      <c r="AD36" s="51"/>
      <c r="AE36" s="51"/>
      <c r="AF36" s="52">
        <f t="shared" si="35"/>
        <v>0</v>
      </c>
      <c r="AG36" s="51">
        <v>6915.6</v>
      </c>
      <c r="AH36" s="51"/>
      <c r="AI36" s="52">
        <f t="shared" si="36"/>
        <v>6915.6</v>
      </c>
      <c r="AJ36" s="51">
        <v>6915.6</v>
      </c>
      <c r="AK36" s="51"/>
      <c r="AL36" s="52">
        <f t="shared" si="37"/>
        <v>6915.6</v>
      </c>
      <c r="AM36" s="51"/>
      <c r="AN36" s="51"/>
      <c r="AO36" s="52">
        <f t="shared" si="38"/>
        <v>0</v>
      </c>
      <c r="AP36" s="51"/>
      <c r="AQ36" s="51"/>
      <c r="AR36" s="52">
        <f t="shared" si="39"/>
        <v>0</v>
      </c>
      <c r="AS36" s="51"/>
      <c r="AT36" s="51"/>
      <c r="AU36" s="52">
        <f t="shared" si="40"/>
        <v>0</v>
      </c>
      <c r="AV36" s="51"/>
      <c r="AW36" s="51"/>
      <c r="AX36" s="52">
        <f t="shared" si="41"/>
        <v>0</v>
      </c>
      <c r="AY36" s="51">
        <v>13831.2</v>
      </c>
      <c r="AZ36" s="51"/>
      <c r="BA36" s="52">
        <f t="shared" si="42"/>
        <v>13831.2</v>
      </c>
      <c r="BB36" s="62">
        <v>13831.2</v>
      </c>
      <c r="BC36" s="51"/>
      <c r="BD36" s="52">
        <f t="shared" si="43"/>
        <v>13831.2</v>
      </c>
      <c r="BE36" s="51"/>
      <c r="BF36" s="51"/>
      <c r="BG36" s="52">
        <f t="shared" si="44"/>
        <v>0</v>
      </c>
      <c r="BH36" s="51"/>
      <c r="BI36" s="51"/>
      <c r="BJ36" s="52">
        <f t="shared" si="45"/>
        <v>0</v>
      </c>
      <c r="BK36" s="51"/>
      <c r="BL36" s="51"/>
      <c r="BM36" s="52">
        <f t="shared" si="46"/>
        <v>0</v>
      </c>
      <c r="BN36" s="51"/>
      <c r="BO36" s="51"/>
      <c r="BP36" s="52">
        <f t="shared" si="47"/>
        <v>0</v>
      </c>
      <c r="BQ36" s="51"/>
      <c r="BR36" s="51"/>
      <c r="BS36" s="52">
        <f t="shared" si="48"/>
        <v>0</v>
      </c>
      <c r="BT36" s="51"/>
      <c r="BU36" s="51"/>
      <c r="BV36" s="52">
        <f t="shared" si="49"/>
        <v>0</v>
      </c>
      <c r="BW36" s="36">
        <f t="shared" si="23"/>
        <v>20746.800000000003</v>
      </c>
      <c r="BX36" s="36">
        <f t="shared" si="23"/>
        <v>0</v>
      </c>
      <c r="BY36" s="36">
        <f t="shared" si="24"/>
        <v>20746.800000000003</v>
      </c>
      <c r="BZ36" s="36">
        <f t="shared" si="25"/>
        <v>20746.800000000003</v>
      </c>
      <c r="CA36" s="36">
        <f t="shared" si="25"/>
        <v>0</v>
      </c>
      <c r="CB36" s="36">
        <f t="shared" si="26"/>
        <v>20746.800000000003</v>
      </c>
    </row>
    <row r="37" spans="1:80" s="44" customFormat="1" ht="12" outlineLevel="1" x14ac:dyDescent="0.2">
      <c r="A37" s="38"/>
      <c r="B37" s="39" t="s">
        <v>52</v>
      </c>
      <c r="C37" s="63"/>
      <c r="D37" s="63"/>
      <c r="E37" s="60">
        <f t="shared" si="22"/>
        <v>0</v>
      </c>
      <c r="F37" s="63"/>
      <c r="G37" s="63"/>
      <c r="H37" s="60">
        <f t="shared" si="28"/>
        <v>0</v>
      </c>
      <c r="I37" s="63"/>
      <c r="J37" s="63"/>
      <c r="K37" s="60">
        <f t="shared" si="29"/>
        <v>0</v>
      </c>
      <c r="L37" s="63"/>
      <c r="M37" s="63"/>
      <c r="N37" s="60">
        <f t="shared" si="50"/>
        <v>0</v>
      </c>
      <c r="O37" s="63"/>
      <c r="P37" s="63"/>
      <c r="Q37" s="60">
        <f t="shared" si="30"/>
        <v>0</v>
      </c>
      <c r="R37" s="63"/>
      <c r="S37" s="63"/>
      <c r="T37" s="60">
        <f t="shared" si="31"/>
        <v>0</v>
      </c>
      <c r="U37" s="63"/>
      <c r="V37" s="63"/>
      <c r="W37" s="60">
        <f t="shared" si="32"/>
        <v>0</v>
      </c>
      <c r="X37" s="63"/>
      <c r="Y37" s="63"/>
      <c r="Z37" s="60">
        <f t="shared" si="33"/>
        <v>0</v>
      </c>
      <c r="AA37" s="63"/>
      <c r="AB37" s="63"/>
      <c r="AC37" s="60">
        <f t="shared" si="34"/>
        <v>0</v>
      </c>
      <c r="AD37" s="63"/>
      <c r="AE37" s="63"/>
      <c r="AF37" s="60">
        <f t="shared" si="35"/>
        <v>0</v>
      </c>
      <c r="AG37" s="63"/>
      <c r="AH37" s="63"/>
      <c r="AI37" s="60">
        <f t="shared" si="36"/>
        <v>0</v>
      </c>
      <c r="AJ37" s="63"/>
      <c r="AK37" s="63"/>
      <c r="AL37" s="60">
        <f t="shared" si="37"/>
        <v>0</v>
      </c>
      <c r="AM37" s="63"/>
      <c r="AN37" s="63"/>
      <c r="AO37" s="60">
        <f t="shared" si="38"/>
        <v>0</v>
      </c>
      <c r="AP37" s="63"/>
      <c r="AQ37" s="63"/>
      <c r="AR37" s="60">
        <f t="shared" si="39"/>
        <v>0</v>
      </c>
      <c r="AS37" s="63"/>
      <c r="AT37" s="63"/>
      <c r="AU37" s="60">
        <f t="shared" si="40"/>
        <v>0</v>
      </c>
      <c r="AV37" s="63"/>
      <c r="AW37" s="63"/>
      <c r="AX37" s="60">
        <f t="shared" si="41"/>
        <v>0</v>
      </c>
      <c r="AY37" s="63"/>
      <c r="AZ37" s="63"/>
      <c r="BA37" s="60">
        <f t="shared" si="42"/>
        <v>0</v>
      </c>
      <c r="BB37" s="63"/>
      <c r="BC37" s="63"/>
      <c r="BD37" s="60">
        <f t="shared" si="43"/>
        <v>0</v>
      </c>
      <c r="BE37" s="63"/>
      <c r="BF37" s="63"/>
      <c r="BG37" s="60">
        <f t="shared" si="44"/>
        <v>0</v>
      </c>
      <c r="BH37" s="63"/>
      <c r="BI37" s="63"/>
      <c r="BJ37" s="60">
        <f t="shared" si="45"/>
        <v>0</v>
      </c>
      <c r="BK37" s="63"/>
      <c r="BL37" s="63"/>
      <c r="BM37" s="60">
        <f t="shared" si="46"/>
        <v>0</v>
      </c>
      <c r="BN37" s="63"/>
      <c r="BO37" s="63"/>
      <c r="BP37" s="60">
        <f t="shared" si="47"/>
        <v>0</v>
      </c>
      <c r="BQ37" s="63"/>
      <c r="BR37" s="63"/>
      <c r="BS37" s="60">
        <f t="shared" si="48"/>
        <v>0</v>
      </c>
      <c r="BT37" s="63"/>
      <c r="BU37" s="63"/>
      <c r="BV37" s="60">
        <f t="shared" si="49"/>
        <v>0</v>
      </c>
      <c r="BW37" s="43">
        <f t="shared" si="23"/>
        <v>0</v>
      </c>
      <c r="BX37" s="43">
        <f t="shared" si="23"/>
        <v>0</v>
      </c>
      <c r="BY37" s="43">
        <f t="shared" si="24"/>
        <v>0</v>
      </c>
      <c r="BZ37" s="43">
        <f t="shared" si="25"/>
        <v>0</v>
      </c>
      <c r="CA37" s="43">
        <f t="shared" si="25"/>
        <v>0</v>
      </c>
      <c r="CB37" s="43">
        <f t="shared" si="26"/>
        <v>0</v>
      </c>
    </row>
    <row r="38" spans="1:80" s="5" customFormat="1" outlineLevel="1" x14ac:dyDescent="0.2">
      <c r="A38" s="33">
        <v>125</v>
      </c>
      <c r="B38" s="64" t="s">
        <v>53</v>
      </c>
      <c r="C38" s="65">
        <f>C39+C40+C41+C42</f>
        <v>0</v>
      </c>
      <c r="D38" s="65">
        <f>D39+D40+D41+D42</f>
        <v>0</v>
      </c>
      <c r="E38" s="52">
        <f t="shared" si="22"/>
        <v>0</v>
      </c>
      <c r="F38" s="65">
        <f>F39+F40+F41+F42</f>
        <v>0</v>
      </c>
      <c r="G38" s="65">
        <f>G39+G40+G41+G42</f>
        <v>0</v>
      </c>
      <c r="H38" s="52">
        <f t="shared" si="28"/>
        <v>0</v>
      </c>
      <c r="I38" s="65"/>
      <c r="J38" s="65"/>
      <c r="K38" s="52">
        <f t="shared" si="29"/>
        <v>0</v>
      </c>
      <c r="L38" s="65">
        <f>L39+L40+L41+L42</f>
        <v>0</v>
      </c>
      <c r="M38" s="65">
        <f>M39+M40+M41+M42</f>
        <v>0</v>
      </c>
      <c r="N38" s="52">
        <f t="shared" si="50"/>
        <v>0</v>
      </c>
      <c r="O38" s="65">
        <f>O39+O40+O41+O42</f>
        <v>0</v>
      </c>
      <c r="P38" s="65">
        <f>P39+P40+P41+P42</f>
        <v>0</v>
      </c>
      <c r="Q38" s="52">
        <f t="shared" si="30"/>
        <v>0</v>
      </c>
      <c r="R38" s="65">
        <f>R39+R40+R41+R42</f>
        <v>0</v>
      </c>
      <c r="S38" s="65">
        <f>S39+S40+S41+S42</f>
        <v>0</v>
      </c>
      <c r="T38" s="52">
        <f t="shared" si="31"/>
        <v>0</v>
      </c>
      <c r="U38" s="65">
        <f>U39+U40+U41+U42</f>
        <v>0</v>
      </c>
      <c r="V38" s="65">
        <f>V39+V40+V41+V42</f>
        <v>0</v>
      </c>
      <c r="W38" s="52">
        <f t="shared" si="32"/>
        <v>0</v>
      </c>
      <c r="X38" s="65">
        <f>X39+X40+X41+X42</f>
        <v>0</v>
      </c>
      <c r="Y38" s="65">
        <f>Y39+Y40+Y41+Y42</f>
        <v>0</v>
      </c>
      <c r="Z38" s="52">
        <f t="shared" si="33"/>
        <v>0</v>
      </c>
      <c r="AA38" s="65">
        <f>AA39+AA40+AA41+AA42</f>
        <v>0</v>
      </c>
      <c r="AB38" s="65">
        <f>AB39+AB40+AB41+AB42</f>
        <v>0</v>
      </c>
      <c r="AC38" s="52">
        <f t="shared" si="34"/>
        <v>0</v>
      </c>
      <c r="AD38" s="65">
        <f>AD39+AD40+AD41+AD42</f>
        <v>0</v>
      </c>
      <c r="AE38" s="65">
        <f>AE39+AE40+AE41+AE42</f>
        <v>0</v>
      </c>
      <c r="AF38" s="52">
        <f t="shared" si="35"/>
        <v>0</v>
      </c>
      <c r="AG38" s="65">
        <f>AG39+AG40+AG41+AG42</f>
        <v>0</v>
      </c>
      <c r="AH38" s="65">
        <f>AH39+AH40+AH41+AH42</f>
        <v>0</v>
      </c>
      <c r="AI38" s="52">
        <f t="shared" si="36"/>
        <v>0</v>
      </c>
      <c r="AJ38" s="65">
        <f>AJ39+AJ40+AJ41+AJ42</f>
        <v>0</v>
      </c>
      <c r="AK38" s="65">
        <f>AK39+AK40+AK41+AK42</f>
        <v>0</v>
      </c>
      <c r="AL38" s="52">
        <f t="shared" si="37"/>
        <v>0</v>
      </c>
      <c r="AM38" s="65">
        <f>AM39+AM40+AM41+AM42</f>
        <v>0</v>
      </c>
      <c r="AN38" s="65">
        <f>AN39+AN40+AN41+AN42</f>
        <v>0</v>
      </c>
      <c r="AO38" s="52">
        <f t="shared" si="38"/>
        <v>0</v>
      </c>
      <c r="AP38" s="65">
        <f>AP39+AP40+AP41+AP42</f>
        <v>0</v>
      </c>
      <c r="AQ38" s="65">
        <f>AQ39+AQ40+AQ41+AQ42</f>
        <v>0</v>
      </c>
      <c r="AR38" s="52">
        <f t="shared" si="39"/>
        <v>0</v>
      </c>
      <c r="AS38" s="65">
        <f>AS39+AS40+AS41+AS42</f>
        <v>0</v>
      </c>
      <c r="AT38" s="65">
        <f>AT39+AT40+AT41+AT42</f>
        <v>0</v>
      </c>
      <c r="AU38" s="52">
        <f t="shared" si="40"/>
        <v>0</v>
      </c>
      <c r="AV38" s="65">
        <f>AV39+AV40+AV41+AV42</f>
        <v>0</v>
      </c>
      <c r="AW38" s="65">
        <f>AW39+AW40+AW41+AW42</f>
        <v>0</v>
      </c>
      <c r="AX38" s="52">
        <f t="shared" si="41"/>
        <v>0</v>
      </c>
      <c r="AY38" s="65">
        <f>AY39+AY40+AY41+AY42</f>
        <v>0</v>
      </c>
      <c r="AZ38" s="65">
        <f>AZ39+AZ40+AZ41+AZ42</f>
        <v>0</v>
      </c>
      <c r="BA38" s="52">
        <f t="shared" si="42"/>
        <v>0</v>
      </c>
      <c r="BB38" s="65">
        <f>BB39+BB40+BB41+BB42</f>
        <v>0</v>
      </c>
      <c r="BC38" s="65">
        <f>BC39+BC40+BC41+BC42</f>
        <v>0</v>
      </c>
      <c r="BD38" s="52">
        <f t="shared" si="43"/>
        <v>0</v>
      </c>
      <c r="BE38" s="65">
        <f>BE39+BE40+BE41+BE42</f>
        <v>0</v>
      </c>
      <c r="BF38" s="65">
        <f>BF39+BF40+BF41+BF42</f>
        <v>0</v>
      </c>
      <c r="BG38" s="52">
        <f t="shared" si="44"/>
        <v>0</v>
      </c>
      <c r="BH38" s="65">
        <f>BH39+BH40+BH41+BH42</f>
        <v>0</v>
      </c>
      <c r="BI38" s="65">
        <f>BI39+BI40+BI41+BI42</f>
        <v>0</v>
      </c>
      <c r="BJ38" s="52">
        <f t="shared" si="45"/>
        <v>0</v>
      </c>
      <c r="BK38" s="65">
        <f>BK39+BK40+BK41+BK42</f>
        <v>0</v>
      </c>
      <c r="BL38" s="65">
        <f>BL39+BL40+BL41+BL42</f>
        <v>0</v>
      </c>
      <c r="BM38" s="52">
        <f t="shared" si="46"/>
        <v>0</v>
      </c>
      <c r="BN38" s="65">
        <f>BN39+BN40+BN41+BN42</f>
        <v>0</v>
      </c>
      <c r="BO38" s="65">
        <f>BO39+BO40+BO41+BO42</f>
        <v>0</v>
      </c>
      <c r="BP38" s="52">
        <f t="shared" si="47"/>
        <v>0</v>
      </c>
      <c r="BQ38" s="65">
        <f>BQ39+BQ40+BQ41+BQ42</f>
        <v>0</v>
      </c>
      <c r="BR38" s="65">
        <f>BR39+BR40+BR41+BR42</f>
        <v>0</v>
      </c>
      <c r="BS38" s="52">
        <f t="shared" si="48"/>
        <v>0</v>
      </c>
      <c r="BT38" s="65">
        <f>BT39+BT40+BT41+BT42</f>
        <v>0</v>
      </c>
      <c r="BU38" s="65">
        <f>BU39+BU40+BU41+BU42</f>
        <v>0</v>
      </c>
      <c r="BV38" s="52">
        <f t="shared" si="49"/>
        <v>0</v>
      </c>
      <c r="BW38" s="36">
        <f>C38+I38+O38+U38+AA38+AG38+AM38+AS38+AY38+BE38+BK38+BQ38</f>
        <v>0</v>
      </c>
      <c r="BX38" s="36">
        <f>D38+J38+P38+V38+AB38+AH38+AN38+AT38+AZ38+BF38+BL38+BR38</f>
        <v>0</v>
      </c>
      <c r="BY38" s="36">
        <f t="shared" si="24"/>
        <v>0</v>
      </c>
      <c r="BZ38" s="36">
        <f>F38+L38+R38+X38+AD38+AJ38+AP38+AV38+BB38+BH38+BN38+BT38</f>
        <v>0</v>
      </c>
      <c r="CA38" s="36">
        <f>G38+M38+S38+Y38+AE38+AK38+AQ38+AW38+BC38+BI38+BO38+BU38</f>
        <v>0</v>
      </c>
      <c r="CB38" s="36">
        <f t="shared" si="26"/>
        <v>0</v>
      </c>
    </row>
    <row r="39" spans="1:80" s="44" customFormat="1" ht="12" outlineLevel="2" x14ac:dyDescent="0.2">
      <c r="A39" s="38" t="s">
        <v>54</v>
      </c>
      <c r="B39" s="66" t="s">
        <v>55</v>
      </c>
      <c r="C39" s="67"/>
      <c r="D39" s="67"/>
      <c r="E39" s="60">
        <f t="shared" si="22"/>
        <v>0</v>
      </c>
      <c r="F39" s="67"/>
      <c r="G39" s="67"/>
      <c r="H39" s="60">
        <f t="shared" si="28"/>
        <v>0</v>
      </c>
      <c r="I39" s="67"/>
      <c r="J39" s="67"/>
      <c r="K39" s="60">
        <f t="shared" si="29"/>
        <v>0</v>
      </c>
      <c r="L39" s="67"/>
      <c r="M39" s="67"/>
      <c r="N39" s="60">
        <f t="shared" si="50"/>
        <v>0</v>
      </c>
      <c r="O39" s="67"/>
      <c r="P39" s="67"/>
      <c r="Q39" s="60">
        <f t="shared" si="30"/>
        <v>0</v>
      </c>
      <c r="R39" s="67"/>
      <c r="S39" s="67"/>
      <c r="T39" s="60">
        <f t="shared" si="31"/>
        <v>0</v>
      </c>
      <c r="U39" s="67"/>
      <c r="V39" s="67"/>
      <c r="W39" s="60">
        <f t="shared" si="32"/>
        <v>0</v>
      </c>
      <c r="X39" s="67"/>
      <c r="Y39" s="67"/>
      <c r="Z39" s="60">
        <f t="shared" si="33"/>
        <v>0</v>
      </c>
      <c r="AA39" s="67"/>
      <c r="AB39" s="67"/>
      <c r="AC39" s="60">
        <f t="shared" si="34"/>
        <v>0</v>
      </c>
      <c r="AD39" s="67"/>
      <c r="AE39" s="67"/>
      <c r="AF39" s="60">
        <f t="shared" si="35"/>
        <v>0</v>
      </c>
      <c r="AG39" s="67"/>
      <c r="AH39" s="67"/>
      <c r="AI39" s="60">
        <f t="shared" si="36"/>
        <v>0</v>
      </c>
      <c r="AJ39" s="67"/>
      <c r="AK39" s="67"/>
      <c r="AL39" s="60">
        <f t="shared" si="37"/>
        <v>0</v>
      </c>
      <c r="AM39" s="67"/>
      <c r="AN39" s="67"/>
      <c r="AO39" s="60">
        <f t="shared" si="38"/>
        <v>0</v>
      </c>
      <c r="AP39" s="67"/>
      <c r="AQ39" s="67"/>
      <c r="AR39" s="60">
        <f t="shared" si="39"/>
        <v>0</v>
      </c>
      <c r="AS39" s="67"/>
      <c r="AT39" s="67"/>
      <c r="AU39" s="60">
        <f t="shared" si="40"/>
        <v>0</v>
      </c>
      <c r="AV39" s="67"/>
      <c r="AW39" s="67"/>
      <c r="AX39" s="60">
        <f t="shared" si="41"/>
        <v>0</v>
      </c>
      <c r="AY39" s="67"/>
      <c r="AZ39" s="67"/>
      <c r="BA39" s="60">
        <f t="shared" si="42"/>
        <v>0</v>
      </c>
      <c r="BB39" s="67"/>
      <c r="BC39" s="67"/>
      <c r="BD39" s="60">
        <f t="shared" si="43"/>
        <v>0</v>
      </c>
      <c r="BE39" s="67"/>
      <c r="BF39" s="67"/>
      <c r="BG39" s="60">
        <f t="shared" si="44"/>
        <v>0</v>
      </c>
      <c r="BH39" s="67"/>
      <c r="BI39" s="67"/>
      <c r="BJ39" s="60">
        <f t="shared" si="45"/>
        <v>0</v>
      </c>
      <c r="BK39" s="67"/>
      <c r="BL39" s="67"/>
      <c r="BM39" s="60">
        <f t="shared" si="46"/>
        <v>0</v>
      </c>
      <c r="BN39" s="67"/>
      <c r="BO39" s="67"/>
      <c r="BP39" s="60">
        <f t="shared" si="47"/>
        <v>0</v>
      </c>
      <c r="BQ39" s="67"/>
      <c r="BR39" s="67"/>
      <c r="BS39" s="60">
        <f t="shared" si="48"/>
        <v>0</v>
      </c>
      <c r="BT39" s="67"/>
      <c r="BU39" s="67"/>
      <c r="BV39" s="60">
        <f t="shared" si="49"/>
        <v>0</v>
      </c>
      <c r="BW39" s="43">
        <f>C39+I39+O39+U39+AA39+AG39+AM39+AS39+AY39+BE39+BK39+BQ39</f>
        <v>0</v>
      </c>
      <c r="BX39" s="43">
        <f t="shared" si="23"/>
        <v>0</v>
      </c>
      <c r="BY39" s="43">
        <f t="shared" si="24"/>
        <v>0</v>
      </c>
      <c r="BZ39" s="43">
        <f t="shared" si="25"/>
        <v>0</v>
      </c>
      <c r="CA39" s="43">
        <f t="shared" si="25"/>
        <v>0</v>
      </c>
      <c r="CB39" s="43">
        <f t="shared" si="26"/>
        <v>0</v>
      </c>
    </row>
    <row r="40" spans="1:80" s="44" customFormat="1" ht="24" outlineLevel="2" x14ac:dyDescent="0.2">
      <c r="A40" s="38" t="s">
        <v>56</v>
      </c>
      <c r="B40" s="66" t="s">
        <v>57</v>
      </c>
      <c r="C40" s="67"/>
      <c r="D40" s="67"/>
      <c r="E40" s="60">
        <f t="shared" si="22"/>
        <v>0</v>
      </c>
      <c r="F40" s="67"/>
      <c r="G40" s="67"/>
      <c r="H40" s="60">
        <f t="shared" si="28"/>
        <v>0</v>
      </c>
      <c r="I40" s="67"/>
      <c r="J40" s="67"/>
      <c r="K40" s="60">
        <f t="shared" si="29"/>
        <v>0</v>
      </c>
      <c r="L40" s="67"/>
      <c r="M40" s="67"/>
      <c r="N40" s="60">
        <f t="shared" si="50"/>
        <v>0</v>
      </c>
      <c r="O40" s="67"/>
      <c r="P40" s="67"/>
      <c r="Q40" s="60">
        <f t="shared" si="30"/>
        <v>0</v>
      </c>
      <c r="R40" s="67"/>
      <c r="S40" s="67"/>
      <c r="T40" s="60">
        <f t="shared" si="31"/>
        <v>0</v>
      </c>
      <c r="U40" s="67"/>
      <c r="V40" s="67"/>
      <c r="W40" s="60">
        <f t="shared" si="32"/>
        <v>0</v>
      </c>
      <c r="X40" s="67"/>
      <c r="Y40" s="67"/>
      <c r="Z40" s="60">
        <f t="shared" si="33"/>
        <v>0</v>
      </c>
      <c r="AA40" s="67"/>
      <c r="AB40" s="67"/>
      <c r="AC40" s="60">
        <f t="shared" si="34"/>
        <v>0</v>
      </c>
      <c r="AD40" s="67"/>
      <c r="AE40" s="67"/>
      <c r="AF40" s="60">
        <f t="shared" si="35"/>
        <v>0</v>
      </c>
      <c r="AG40" s="67"/>
      <c r="AH40" s="67"/>
      <c r="AI40" s="60">
        <f t="shared" si="36"/>
        <v>0</v>
      </c>
      <c r="AJ40" s="67"/>
      <c r="AK40" s="67"/>
      <c r="AL40" s="60">
        <f t="shared" si="37"/>
        <v>0</v>
      </c>
      <c r="AM40" s="67"/>
      <c r="AN40" s="67"/>
      <c r="AO40" s="60">
        <f t="shared" si="38"/>
        <v>0</v>
      </c>
      <c r="AP40" s="67"/>
      <c r="AQ40" s="67"/>
      <c r="AR40" s="60">
        <f t="shared" si="39"/>
        <v>0</v>
      </c>
      <c r="AS40" s="67"/>
      <c r="AT40" s="67"/>
      <c r="AU40" s="60">
        <f t="shared" si="40"/>
        <v>0</v>
      </c>
      <c r="AV40" s="67"/>
      <c r="AW40" s="67"/>
      <c r="AX40" s="60">
        <f t="shared" si="41"/>
        <v>0</v>
      </c>
      <c r="AY40" s="67"/>
      <c r="AZ40" s="67"/>
      <c r="BA40" s="60">
        <f t="shared" si="42"/>
        <v>0</v>
      </c>
      <c r="BB40" s="67"/>
      <c r="BC40" s="67"/>
      <c r="BD40" s="60">
        <f t="shared" si="43"/>
        <v>0</v>
      </c>
      <c r="BE40" s="67"/>
      <c r="BF40" s="67"/>
      <c r="BG40" s="60">
        <f t="shared" si="44"/>
        <v>0</v>
      </c>
      <c r="BH40" s="67"/>
      <c r="BI40" s="67"/>
      <c r="BJ40" s="60">
        <f t="shared" si="45"/>
        <v>0</v>
      </c>
      <c r="BK40" s="67"/>
      <c r="BL40" s="67"/>
      <c r="BM40" s="60">
        <f t="shared" si="46"/>
        <v>0</v>
      </c>
      <c r="BN40" s="67"/>
      <c r="BO40" s="67"/>
      <c r="BP40" s="60">
        <f t="shared" si="47"/>
        <v>0</v>
      </c>
      <c r="BQ40" s="67"/>
      <c r="BR40" s="67"/>
      <c r="BS40" s="60">
        <f t="shared" si="48"/>
        <v>0</v>
      </c>
      <c r="BT40" s="67"/>
      <c r="BU40" s="67"/>
      <c r="BV40" s="60">
        <f t="shared" si="49"/>
        <v>0</v>
      </c>
      <c r="BW40" s="43">
        <f t="shared" si="23"/>
        <v>0</v>
      </c>
      <c r="BX40" s="43">
        <f t="shared" si="23"/>
        <v>0</v>
      </c>
      <c r="BY40" s="43">
        <f t="shared" si="24"/>
        <v>0</v>
      </c>
      <c r="BZ40" s="43">
        <f t="shared" si="25"/>
        <v>0</v>
      </c>
      <c r="CA40" s="43">
        <f t="shared" si="25"/>
        <v>0</v>
      </c>
      <c r="CB40" s="43">
        <f t="shared" si="26"/>
        <v>0</v>
      </c>
    </row>
    <row r="41" spans="1:80" s="44" customFormat="1" ht="12" outlineLevel="2" x14ac:dyDescent="0.2">
      <c r="A41" s="38" t="s">
        <v>58</v>
      </c>
      <c r="B41" s="66" t="s">
        <v>59</v>
      </c>
      <c r="C41" s="67"/>
      <c r="D41" s="67"/>
      <c r="E41" s="60">
        <f t="shared" si="22"/>
        <v>0</v>
      </c>
      <c r="F41" s="67"/>
      <c r="G41" s="67"/>
      <c r="H41" s="60">
        <f t="shared" si="28"/>
        <v>0</v>
      </c>
      <c r="I41" s="67"/>
      <c r="J41" s="67"/>
      <c r="K41" s="60">
        <f t="shared" si="29"/>
        <v>0</v>
      </c>
      <c r="L41" s="67"/>
      <c r="M41" s="67"/>
      <c r="N41" s="60">
        <f t="shared" si="50"/>
        <v>0</v>
      </c>
      <c r="O41" s="67"/>
      <c r="P41" s="67"/>
      <c r="Q41" s="60">
        <f t="shared" si="30"/>
        <v>0</v>
      </c>
      <c r="R41" s="67"/>
      <c r="S41" s="67"/>
      <c r="T41" s="60">
        <f t="shared" si="31"/>
        <v>0</v>
      </c>
      <c r="U41" s="67"/>
      <c r="V41" s="67"/>
      <c r="W41" s="60">
        <f t="shared" si="32"/>
        <v>0</v>
      </c>
      <c r="X41" s="67"/>
      <c r="Y41" s="67"/>
      <c r="Z41" s="60">
        <f t="shared" si="33"/>
        <v>0</v>
      </c>
      <c r="AA41" s="67"/>
      <c r="AB41" s="67"/>
      <c r="AC41" s="60">
        <f t="shared" si="34"/>
        <v>0</v>
      </c>
      <c r="AD41" s="67"/>
      <c r="AE41" s="67"/>
      <c r="AF41" s="60">
        <f t="shared" si="35"/>
        <v>0</v>
      </c>
      <c r="AG41" s="67"/>
      <c r="AH41" s="67"/>
      <c r="AI41" s="60">
        <f t="shared" si="36"/>
        <v>0</v>
      </c>
      <c r="AJ41" s="67"/>
      <c r="AK41" s="67"/>
      <c r="AL41" s="60">
        <f t="shared" si="37"/>
        <v>0</v>
      </c>
      <c r="AM41" s="67"/>
      <c r="AN41" s="67"/>
      <c r="AO41" s="60">
        <f t="shared" si="38"/>
        <v>0</v>
      </c>
      <c r="AP41" s="67"/>
      <c r="AQ41" s="67"/>
      <c r="AR41" s="60">
        <f t="shared" si="39"/>
        <v>0</v>
      </c>
      <c r="AS41" s="67"/>
      <c r="AT41" s="67"/>
      <c r="AU41" s="60">
        <f t="shared" si="40"/>
        <v>0</v>
      </c>
      <c r="AV41" s="67"/>
      <c r="AW41" s="67"/>
      <c r="AX41" s="60">
        <f t="shared" si="41"/>
        <v>0</v>
      </c>
      <c r="AY41" s="67"/>
      <c r="AZ41" s="67"/>
      <c r="BA41" s="60">
        <f t="shared" si="42"/>
        <v>0</v>
      </c>
      <c r="BB41" s="67"/>
      <c r="BC41" s="67"/>
      <c r="BD41" s="60">
        <f t="shared" si="43"/>
        <v>0</v>
      </c>
      <c r="BE41" s="67"/>
      <c r="BF41" s="67"/>
      <c r="BG41" s="60">
        <f t="shared" si="44"/>
        <v>0</v>
      </c>
      <c r="BH41" s="67"/>
      <c r="BI41" s="67"/>
      <c r="BJ41" s="60">
        <f t="shared" si="45"/>
        <v>0</v>
      </c>
      <c r="BK41" s="67"/>
      <c r="BL41" s="67"/>
      <c r="BM41" s="60">
        <f t="shared" si="46"/>
        <v>0</v>
      </c>
      <c r="BN41" s="67"/>
      <c r="BO41" s="67"/>
      <c r="BP41" s="60">
        <f t="shared" si="47"/>
        <v>0</v>
      </c>
      <c r="BQ41" s="67"/>
      <c r="BR41" s="67"/>
      <c r="BS41" s="60">
        <f t="shared" si="48"/>
        <v>0</v>
      </c>
      <c r="BT41" s="67"/>
      <c r="BU41" s="67"/>
      <c r="BV41" s="60">
        <f t="shared" si="49"/>
        <v>0</v>
      </c>
      <c r="BW41" s="43">
        <f t="shared" si="23"/>
        <v>0</v>
      </c>
      <c r="BX41" s="43">
        <f t="shared" si="23"/>
        <v>0</v>
      </c>
      <c r="BY41" s="43">
        <f t="shared" si="24"/>
        <v>0</v>
      </c>
      <c r="BZ41" s="43">
        <f t="shared" si="25"/>
        <v>0</v>
      </c>
      <c r="CA41" s="43">
        <f t="shared" si="25"/>
        <v>0</v>
      </c>
      <c r="CB41" s="43">
        <f t="shared" si="26"/>
        <v>0</v>
      </c>
    </row>
    <row r="42" spans="1:80" s="44" customFormat="1" ht="24" outlineLevel="2" x14ac:dyDescent="0.2">
      <c r="A42" s="38" t="s">
        <v>60</v>
      </c>
      <c r="B42" s="66" t="s">
        <v>61</v>
      </c>
      <c r="C42" s="67"/>
      <c r="D42" s="67"/>
      <c r="E42" s="60">
        <f t="shared" si="22"/>
        <v>0</v>
      </c>
      <c r="F42" s="67"/>
      <c r="G42" s="67"/>
      <c r="H42" s="60">
        <f t="shared" si="28"/>
        <v>0</v>
      </c>
      <c r="I42" s="67"/>
      <c r="J42" s="67"/>
      <c r="K42" s="60">
        <f t="shared" si="29"/>
        <v>0</v>
      </c>
      <c r="L42" s="67"/>
      <c r="M42" s="67"/>
      <c r="N42" s="60">
        <f t="shared" si="50"/>
        <v>0</v>
      </c>
      <c r="O42" s="67"/>
      <c r="P42" s="67"/>
      <c r="Q42" s="60">
        <f t="shared" si="30"/>
        <v>0</v>
      </c>
      <c r="R42" s="67"/>
      <c r="S42" s="67"/>
      <c r="T42" s="60">
        <f t="shared" si="31"/>
        <v>0</v>
      </c>
      <c r="U42" s="67"/>
      <c r="V42" s="67"/>
      <c r="W42" s="60">
        <f t="shared" si="32"/>
        <v>0</v>
      </c>
      <c r="X42" s="67"/>
      <c r="Y42" s="67"/>
      <c r="Z42" s="60">
        <f t="shared" si="33"/>
        <v>0</v>
      </c>
      <c r="AA42" s="67"/>
      <c r="AB42" s="67"/>
      <c r="AC42" s="60">
        <f t="shared" si="34"/>
        <v>0</v>
      </c>
      <c r="AD42" s="67"/>
      <c r="AE42" s="67"/>
      <c r="AF42" s="60">
        <f t="shared" si="35"/>
        <v>0</v>
      </c>
      <c r="AG42" s="67"/>
      <c r="AH42" s="67"/>
      <c r="AI42" s="60">
        <f t="shared" si="36"/>
        <v>0</v>
      </c>
      <c r="AJ42" s="67"/>
      <c r="AK42" s="67"/>
      <c r="AL42" s="60">
        <f t="shared" si="37"/>
        <v>0</v>
      </c>
      <c r="AM42" s="67"/>
      <c r="AN42" s="67"/>
      <c r="AO42" s="60">
        <f t="shared" si="38"/>
        <v>0</v>
      </c>
      <c r="AP42" s="67"/>
      <c r="AQ42" s="67"/>
      <c r="AR42" s="60">
        <f t="shared" si="39"/>
        <v>0</v>
      </c>
      <c r="AS42" s="67"/>
      <c r="AT42" s="67"/>
      <c r="AU42" s="60">
        <f t="shared" si="40"/>
        <v>0</v>
      </c>
      <c r="AV42" s="67"/>
      <c r="AW42" s="67"/>
      <c r="AX42" s="60">
        <f t="shared" si="41"/>
        <v>0</v>
      </c>
      <c r="AY42" s="67"/>
      <c r="AZ42" s="67"/>
      <c r="BA42" s="60">
        <f t="shared" si="42"/>
        <v>0</v>
      </c>
      <c r="BB42" s="67"/>
      <c r="BC42" s="67"/>
      <c r="BD42" s="60">
        <f t="shared" si="43"/>
        <v>0</v>
      </c>
      <c r="BE42" s="67"/>
      <c r="BF42" s="67"/>
      <c r="BG42" s="60">
        <f t="shared" si="44"/>
        <v>0</v>
      </c>
      <c r="BH42" s="67"/>
      <c r="BI42" s="67"/>
      <c r="BJ42" s="60">
        <f t="shared" si="45"/>
        <v>0</v>
      </c>
      <c r="BK42" s="67"/>
      <c r="BL42" s="67"/>
      <c r="BM42" s="60">
        <f t="shared" si="46"/>
        <v>0</v>
      </c>
      <c r="BN42" s="67"/>
      <c r="BO42" s="67"/>
      <c r="BP42" s="60">
        <f t="shared" si="47"/>
        <v>0</v>
      </c>
      <c r="BQ42" s="67"/>
      <c r="BR42" s="67"/>
      <c r="BS42" s="60">
        <f t="shared" si="48"/>
        <v>0</v>
      </c>
      <c r="BT42" s="67"/>
      <c r="BU42" s="67"/>
      <c r="BV42" s="60">
        <f t="shared" si="49"/>
        <v>0</v>
      </c>
      <c r="BW42" s="43">
        <f t="shared" si="23"/>
        <v>0</v>
      </c>
      <c r="BX42" s="43">
        <f t="shared" si="23"/>
        <v>0</v>
      </c>
      <c r="BY42" s="43">
        <f t="shared" si="24"/>
        <v>0</v>
      </c>
      <c r="BZ42" s="43">
        <f t="shared" si="25"/>
        <v>0</v>
      </c>
      <c r="CA42" s="43">
        <f t="shared" si="25"/>
        <v>0</v>
      </c>
      <c r="CB42" s="43">
        <f t="shared" si="26"/>
        <v>0</v>
      </c>
    </row>
    <row r="43" spans="1:80" outlineLevel="1" x14ac:dyDescent="0.2">
      <c r="A43" s="33">
        <v>126</v>
      </c>
      <c r="B43" s="64" t="s">
        <v>62</v>
      </c>
      <c r="C43" s="68"/>
      <c r="D43" s="68"/>
      <c r="E43" s="69">
        <f t="shared" si="22"/>
        <v>0</v>
      </c>
      <c r="F43" s="68"/>
      <c r="G43" s="68"/>
      <c r="H43" s="69">
        <f t="shared" si="28"/>
        <v>0</v>
      </c>
      <c r="I43" s="68"/>
      <c r="J43" s="68"/>
      <c r="K43" s="69">
        <f t="shared" si="29"/>
        <v>0</v>
      </c>
      <c r="L43" s="68"/>
      <c r="M43" s="68"/>
      <c r="N43" s="69">
        <f t="shared" si="50"/>
        <v>0</v>
      </c>
      <c r="O43" s="68"/>
      <c r="P43" s="68"/>
      <c r="Q43" s="69">
        <f t="shared" si="30"/>
        <v>0</v>
      </c>
      <c r="R43" s="68"/>
      <c r="S43" s="68"/>
      <c r="T43" s="69">
        <f t="shared" si="31"/>
        <v>0</v>
      </c>
      <c r="U43" s="68"/>
      <c r="V43" s="68"/>
      <c r="W43" s="69">
        <f t="shared" si="32"/>
        <v>0</v>
      </c>
      <c r="X43" s="68"/>
      <c r="Y43" s="68"/>
      <c r="Z43" s="69">
        <f t="shared" si="33"/>
        <v>0</v>
      </c>
      <c r="AA43" s="68"/>
      <c r="AB43" s="68"/>
      <c r="AC43" s="69">
        <f t="shared" si="34"/>
        <v>0</v>
      </c>
      <c r="AD43" s="68"/>
      <c r="AE43" s="68"/>
      <c r="AF43" s="69">
        <f t="shared" si="35"/>
        <v>0</v>
      </c>
      <c r="AG43" s="68"/>
      <c r="AH43" s="68"/>
      <c r="AI43" s="69">
        <f t="shared" si="36"/>
        <v>0</v>
      </c>
      <c r="AJ43" s="68"/>
      <c r="AK43" s="68"/>
      <c r="AL43" s="69">
        <f t="shared" si="37"/>
        <v>0</v>
      </c>
      <c r="AM43" s="68"/>
      <c r="AN43" s="68"/>
      <c r="AO43" s="69">
        <f t="shared" si="38"/>
        <v>0</v>
      </c>
      <c r="AP43" s="68"/>
      <c r="AQ43" s="68"/>
      <c r="AR43" s="69">
        <f t="shared" si="39"/>
        <v>0</v>
      </c>
      <c r="AS43" s="68"/>
      <c r="AT43" s="68"/>
      <c r="AU43" s="69">
        <f t="shared" si="40"/>
        <v>0</v>
      </c>
      <c r="AV43" s="68"/>
      <c r="AW43" s="68"/>
      <c r="AX43" s="69">
        <f t="shared" si="41"/>
        <v>0</v>
      </c>
      <c r="AY43" s="68"/>
      <c r="AZ43" s="68"/>
      <c r="BA43" s="69">
        <f t="shared" si="42"/>
        <v>0</v>
      </c>
      <c r="BB43" s="68"/>
      <c r="BC43" s="68"/>
      <c r="BD43" s="69">
        <f t="shared" si="43"/>
        <v>0</v>
      </c>
      <c r="BE43" s="68"/>
      <c r="BF43" s="68"/>
      <c r="BG43" s="69">
        <f t="shared" si="44"/>
        <v>0</v>
      </c>
      <c r="BH43" s="68"/>
      <c r="BI43" s="68"/>
      <c r="BJ43" s="69">
        <f t="shared" si="45"/>
        <v>0</v>
      </c>
      <c r="BK43" s="68"/>
      <c r="BL43" s="68"/>
      <c r="BM43" s="69">
        <f t="shared" si="46"/>
        <v>0</v>
      </c>
      <c r="BN43" s="68"/>
      <c r="BO43" s="68"/>
      <c r="BP43" s="69">
        <f t="shared" si="47"/>
        <v>0</v>
      </c>
      <c r="BQ43" s="68"/>
      <c r="BR43" s="68"/>
      <c r="BS43" s="69">
        <f t="shared" si="48"/>
        <v>0</v>
      </c>
      <c r="BT43" s="68"/>
      <c r="BU43" s="68"/>
      <c r="BV43" s="69">
        <f t="shared" si="49"/>
        <v>0</v>
      </c>
      <c r="BW43" s="36">
        <f t="shared" si="23"/>
        <v>0</v>
      </c>
      <c r="BX43" s="36">
        <f t="shared" si="23"/>
        <v>0</v>
      </c>
      <c r="BY43" s="36">
        <f t="shared" si="24"/>
        <v>0</v>
      </c>
      <c r="BZ43" s="36">
        <f t="shared" si="25"/>
        <v>0</v>
      </c>
      <c r="CA43" s="36">
        <f t="shared" si="25"/>
        <v>0</v>
      </c>
      <c r="CB43" s="36">
        <f t="shared" si="26"/>
        <v>0</v>
      </c>
    </row>
    <row r="44" spans="1:80" outlineLevel="1" x14ac:dyDescent="0.2">
      <c r="A44" s="33">
        <v>127</v>
      </c>
      <c r="B44" s="70" t="s">
        <v>63</v>
      </c>
      <c r="C44" s="71"/>
      <c r="D44" s="71"/>
      <c r="E44" s="72">
        <f t="shared" si="22"/>
        <v>0</v>
      </c>
      <c r="F44" s="71"/>
      <c r="G44" s="71"/>
      <c r="H44" s="72">
        <f t="shared" si="28"/>
        <v>0</v>
      </c>
      <c r="I44" s="71"/>
      <c r="J44" s="71"/>
      <c r="K44" s="72">
        <f t="shared" si="29"/>
        <v>0</v>
      </c>
      <c r="L44" s="71"/>
      <c r="M44" s="71"/>
      <c r="N44" s="72">
        <f t="shared" si="50"/>
        <v>0</v>
      </c>
      <c r="O44" s="71"/>
      <c r="P44" s="71"/>
      <c r="Q44" s="72">
        <f t="shared" si="30"/>
        <v>0</v>
      </c>
      <c r="R44" s="71"/>
      <c r="S44" s="71"/>
      <c r="T44" s="72">
        <f t="shared" si="31"/>
        <v>0</v>
      </c>
      <c r="U44" s="71"/>
      <c r="V44" s="71"/>
      <c r="W44" s="72">
        <f t="shared" si="32"/>
        <v>0</v>
      </c>
      <c r="X44" s="71"/>
      <c r="Y44" s="71"/>
      <c r="Z44" s="72">
        <f t="shared" si="33"/>
        <v>0</v>
      </c>
      <c r="AA44" s="71"/>
      <c r="AB44" s="71"/>
      <c r="AC44" s="72">
        <f t="shared" si="34"/>
        <v>0</v>
      </c>
      <c r="AD44" s="71"/>
      <c r="AE44" s="71"/>
      <c r="AF44" s="72">
        <f t="shared" si="35"/>
        <v>0</v>
      </c>
      <c r="AG44" s="71"/>
      <c r="AH44" s="71"/>
      <c r="AI44" s="72">
        <f t="shared" si="36"/>
        <v>0</v>
      </c>
      <c r="AJ44" s="71"/>
      <c r="AK44" s="71"/>
      <c r="AL44" s="72">
        <f t="shared" si="37"/>
        <v>0</v>
      </c>
      <c r="AM44" s="71"/>
      <c r="AN44" s="71"/>
      <c r="AO44" s="72">
        <f t="shared" si="38"/>
        <v>0</v>
      </c>
      <c r="AP44" s="71"/>
      <c r="AQ44" s="71"/>
      <c r="AR44" s="72">
        <f t="shared" si="39"/>
        <v>0</v>
      </c>
      <c r="AS44" s="71"/>
      <c r="AT44" s="71"/>
      <c r="AU44" s="72">
        <f t="shared" si="40"/>
        <v>0</v>
      </c>
      <c r="AV44" s="71"/>
      <c r="AW44" s="71"/>
      <c r="AX44" s="72">
        <f t="shared" si="41"/>
        <v>0</v>
      </c>
      <c r="AY44" s="71"/>
      <c r="AZ44" s="71"/>
      <c r="BA44" s="72">
        <f t="shared" si="42"/>
        <v>0</v>
      </c>
      <c r="BB44" s="71"/>
      <c r="BC44" s="71"/>
      <c r="BD44" s="72">
        <f t="shared" si="43"/>
        <v>0</v>
      </c>
      <c r="BE44" s="71"/>
      <c r="BF44" s="71"/>
      <c r="BG44" s="72">
        <f t="shared" si="44"/>
        <v>0</v>
      </c>
      <c r="BH44" s="71"/>
      <c r="BI44" s="71"/>
      <c r="BJ44" s="72">
        <f t="shared" si="45"/>
        <v>0</v>
      </c>
      <c r="BK44" s="71"/>
      <c r="BL44" s="71"/>
      <c r="BM44" s="72">
        <f t="shared" si="46"/>
        <v>0</v>
      </c>
      <c r="BN44" s="71"/>
      <c r="BO44" s="71"/>
      <c r="BP44" s="72">
        <f t="shared" si="47"/>
        <v>0</v>
      </c>
      <c r="BQ44" s="71"/>
      <c r="BR44" s="71"/>
      <c r="BS44" s="72">
        <f t="shared" si="48"/>
        <v>0</v>
      </c>
      <c r="BT44" s="71"/>
      <c r="BU44" s="71"/>
      <c r="BV44" s="72">
        <f t="shared" si="49"/>
        <v>0</v>
      </c>
      <c r="BW44" s="36">
        <f t="shared" si="23"/>
        <v>0</v>
      </c>
      <c r="BX44" s="36">
        <f t="shared" si="23"/>
        <v>0</v>
      </c>
      <c r="BY44" s="36">
        <f t="shared" si="24"/>
        <v>0</v>
      </c>
      <c r="BZ44" s="36">
        <f t="shared" si="25"/>
        <v>0</v>
      </c>
      <c r="CA44" s="36">
        <f t="shared" si="25"/>
        <v>0</v>
      </c>
      <c r="CB44" s="36">
        <f t="shared" si="26"/>
        <v>0</v>
      </c>
    </row>
    <row r="45" spans="1:80" outlineLevel="1" x14ac:dyDescent="0.2">
      <c r="A45" s="33">
        <v>128</v>
      </c>
      <c r="B45" s="49" t="s">
        <v>64</v>
      </c>
      <c r="C45" s="51"/>
      <c r="D45" s="51"/>
      <c r="E45" s="52">
        <f t="shared" si="22"/>
        <v>0</v>
      </c>
      <c r="F45" s="51"/>
      <c r="G45" s="51"/>
      <c r="H45" s="52">
        <f t="shared" si="28"/>
        <v>0</v>
      </c>
      <c r="I45" s="51"/>
      <c r="J45" s="51"/>
      <c r="K45" s="52">
        <f t="shared" si="29"/>
        <v>0</v>
      </c>
      <c r="L45" s="51"/>
      <c r="M45" s="51"/>
      <c r="N45" s="52">
        <f t="shared" si="50"/>
        <v>0</v>
      </c>
      <c r="O45" s="51"/>
      <c r="P45" s="51"/>
      <c r="Q45" s="52">
        <f t="shared" si="30"/>
        <v>0</v>
      </c>
      <c r="R45" s="51"/>
      <c r="S45" s="51"/>
      <c r="T45" s="52">
        <f t="shared" si="31"/>
        <v>0</v>
      </c>
      <c r="U45" s="51"/>
      <c r="V45" s="51"/>
      <c r="W45" s="52">
        <f t="shared" si="32"/>
        <v>0</v>
      </c>
      <c r="X45" s="51"/>
      <c r="Y45" s="51"/>
      <c r="Z45" s="52">
        <f t="shared" si="33"/>
        <v>0</v>
      </c>
      <c r="AA45" s="51"/>
      <c r="AB45" s="51"/>
      <c r="AC45" s="52">
        <f t="shared" si="34"/>
        <v>0</v>
      </c>
      <c r="AD45" s="62"/>
      <c r="AE45" s="51"/>
      <c r="AF45" s="52">
        <f t="shared" si="35"/>
        <v>0</v>
      </c>
      <c r="AG45" s="51"/>
      <c r="AH45" s="51"/>
      <c r="AI45" s="52">
        <f t="shared" si="36"/>
        <v>0</v>
      </c>
      <c r="AJ45" s="51"/>
      <c r="AK45" s="51"/>
      <c r="AL45" s="52">
        <f t="shared" si="37"/>
        <v>0</v>
      </c>
      <c r="AM45" s="51"/>
      <c r="AN45" s="51"/>
      <c r="AO45" s="52">
        <f t="shared" si="38"/>
        <v>0</v>
      </c>
      <c r="AP45" s="51"/>
      <c r="AQ45" s="51"/>
      <c r="AR45" s="52">
        <f t="shared" si="39"/>
        <v>0</v>
      </c>
      <c r="AS45" s="51"/>
      <c r="AT45" s="51"/>
      <c r="AU45" s="52">
        <f t="shared" si="40"/>
        <v>0</v>
      </c>
      <c r="AV45" s="51"/>
      <c r="AW45" s="51"/>
      <c r="AX45" s="52">
        <f t="shared" si="41"/>
        <v>0</v>
      </c>
      <c r="AY45" s="51"/>
      <c r="AZ45" s="51"/>
      <c r="BA45" s="52">
        <f t="shared" si="42"/>
        <v>0</v>
      </c>
      <c r="BB45" s="51"/>
      <c r="BC45" s="51"/>
      <c r="BD45" s="52">
        <f t="shared" si="43"/>
        <v>0</v>
      </c>
      <c r="BE45" s="51"/>
      <c r="BF45" s="51"/>
      <c r="BG45" s="52">
        <f t="shared" si="44"/>
        <v>0</v>
      </c>
      <c r="BH45" s="51"/>
      <c r="BI45" s="51"/>
      <c r="BJ45" s="52">
        <f t="shared" si="45"/>
        <v>0</v>
      </c>
      <c r="BK45" s="51"/>
      <c r="BL45" s="51"/>
      <c r="BM45" s="52">
        <f t="shared" si="46"/>
        <v>0</v>
      </c>
      <c r="BN45" s="51"/>
      <c r="BO45" s="51"/>
      <c r="BP45" s="52">
        <f t="shared" si="47"/>
        <v>0</v>
      </c>
      <c r="BQ45" s="51"/>
      <c r="BR45" s="51"/>
      <c r="BS45" s="52">
        <f t="shared" si="48"/>
        <v>0</v>
      </c>
      <c r="BT45" s="51"/>
      <c r="BU45" s="51"/>
      <c r="BV45" s="52">
        <f t="shared" si="49"/>
        <v>0</v>
      </c>
      <c r="BW45" s="36">
        <f t="shared" si="23"/>
        <v>0</v>
      </c>
      <c r="BX45" s="36">
        <f t="shared" si="23"/>
        <v>0</v>
      </c>
      <c r="BY45" s="36">
        <f t="shared" si="24"/>
        <v>0</v>
      </c>
      <c r="BZ45" s="36">
        <f t="shared" si="25"/>
        <v>0</v>
      </c>
      <c r="CA45" s="36">
        <f t="shared" si="25"/>
        <v>0</v>
      </c>
      <c r="CB45" s="36">
        <f t="shared" si="26"/>
        <v>0</v>
      </c>
    </row>
    <row r="46" spans="1:80" ht="25.5" outlineLevel="1" x14ac:dyDescent="0.2">
      <c r="A46" s="33">
        <v>129</v>
      </c>
      <c r="B46" s="49" t="s">
        <v>65</v>
      </c>
      <c r="C46" s="51"/>
      <c r="D46" s="51"/>
      <c r="E46" s="52">
        <f t="shared" si="22"/>
        <v>0</v>
      </c>
      <c r="F46" s="51"/>
      <c r="G46" s="51"/>
      <c r="H46" s="52">
        <f t="shared" si="28"/>
        <v>0</v>
      </c>
      <c r="I46" s="51"/>
      <c r="J46" s="62"/>
      <c r="K46" s="52">
        <f t="shared" si="29"/>
        <v>0</v>
      </c>
      <c r="L46" s="51"/>
      <c r="M46" s="62">
        <v>3900</v>
      </c>
      <c r="N46" s="52">
        <f t="shared" si="50"/>
        <v>3900</v>
      </c>
      <c r="O46" s="51"/>
      <c r="P46" s="51"/>
      <c r="Q46" s="52">
        <f t="shared" si="30"/>
        <v>0</v>
      </c>
      <c r="R46" s="51"/>
      <c r="S46" s="51"/>
      <c r="T46" s="52">
        <f t="shared" si="31"/>
        <v>0</v>
      </c>
      <c r="U46" s="51">
        <f>6020</f>
        <v>6020</v>
      </c>
      <c r="V46" s="51">
        <f>1100+21110+945</f>
        <v>23155</v>
      </c>
      <c r="W46" s="52">
        <f t="shared" si="32"/>
        <v>29175</v>
      </c>
      <c r="X46" s="62">
        <f>2500+6020</f>
        <v>8520</v>
      </c>
      <c r="Y46" s="51">
        <f>1100+21110+945</f>
        <v>23155</v>
      </c>
      <c r="Z46" s="52">
        <f t="shared" si="33"/>
        <v>31675</v>
      </c>
      <c r="AA46" s="51"/>
      <c r="AB46" s="51">
        <f>31000+2521+6622+88880+2600+1608+110000+5843+8300+12800</f>
        <v>270174</v>
      </c>
      <c r="AC46" s="52">
        <f t="shared" si="34"/>
        <v>270174</v>
      </c>
      <c r="AD46" s="62">
        <v>23656.99</v>
      </c>
      <c r="AE46" s="62">
        <f>31000+2521+6622+88880+2600+1608+110000+5843+8300+12800</f>
        <v>270174</v>
      </c>
      <c r="AF46" s="52">
        <f t="shared" si="35"/>
        <v>293830.99</v>
      </c>
      <c r="AG46" s="51">
        <v>1720</v>
      </c>
      <c r="AH46" s="51">
        <f>1351+3145+8533+8665+4968+27858+930+8063+357</f>
        <v>63870</v>
      </c>
      <c r="AI46" s="52">
        <f t="shared" si="36"/>
        <v>65590</v>
      </c>
      <c r="AJ46" s="51">
        <v>7621</v>
      </c>
      <c r="AK46" s="51">
        <f>1351+3145+8533+8665+4968+27858+930+8063+357</f>
        <v>63870</v>
      </c>
      <c r="AL46" s="52">
        <f t="shared" si="37"/>
        <v>71491</v>
      </c>
      <c r="AM46" s="51"/>
      <c r="AN46" s="51">
        <f>1137+279+850+2015+486+17146+50000+1000+3900</f>
        <v>76813</v>
      </c>
      <c r="AO46" s="52">
        <f t="shared" si="38"/>
        <v>76813</v>
      </c>
      <c r="AP46" s="51"/>
      <c r="AQ46" s="62">
        <f>1137+279+850+2015+486+17146+50000+1000+3900</f>
        <v>76813</v>
      </c>
      <c r="AR46" s="52">
        <f t="shared" si="39"/>
        <v>76813</v>
      </c>
      <c r="AS46" s="51">
        <f>46500+18051.5</f>
        <v>64551.5</v>
      </c>
      <c r="AT46" s="51">
        <f>31242</f>
        <v>31242</v>
      </c>
      <c r="AU46" s="52">
        <f t="shared" si="40"/>
        <v>95793.5</v>
      </c>
      <c r="AV46" s="62">
        <f>18051.5+46500</f>
        <v>64551.5</v>
      </c>
      <c r="AW46" s="62">
        <f>8265</f>
        <v>8265</v>
      </c>
      <c r="AX46" s="52">
        <f t="shared" si="41"/>
        <v>72816.5</v>
      </c>
      <c r="AY46" s="51"/>
      <c r="AZ46" s="51">
        <v>2087</v>
      </c>
      <c r="BA46" s="52">
        <f t="shared" si="42"/>
        <v>2087</v>
      </c>
      <c r="BB46" s="62">
        <f>53551.5-18051.5</f>
        <v>35500</v>
      </c>
      <c r="BC46" s="51">
        <f>1115+522+450</f>
        <v>2087</v>
      </c>
      <c r="BD46" s="52">
        <f t="shared" si="43"/>
        <v>37587</v>
      </c>
      <c r="BE46" s="51"/>
      <c r="BF46" s="51"/>
      <c r="BG46" s="52">
        <f t="shared" si="44"/>
        <v>0</v>
      </c>
      <c r="BH46" s="62"/>
      <c r="BI46" s="51"/>
      <c r="BJ46" s="52">
        <f t="shared" si="45"/>
        <v>0</v>
      </c>
      <c r="BK46" s="51"/>
      <c r="BL46" s="51"/>
      <c r="BM46" s="52">
        <f t="shared" si="46"/>
        <v>0</v>
      </c>
      <c r="BN46" s="51"/>
      <c r="BO46" s="51"/>
      <c r="BP46" s="52">
        <f t="shared" si="47"/>
        <v>0</v>
      </c>
      <c r="BQ46" s="51"/>
      <c r="BR46" s="51"/>
      <c r="BS46" s="52">
        <f t="shared" si="48"/>
        <v>0</v>
      </c>
      <c r="BT46" s="62"/>
      <c r="BU46" s="51"/>
      <c r="BV46" s="52">
        <f t="shared" si="49"/>
        <v>0</v>
      </c>
      <c r="BW46" s="36">
        <f t="shared" si="23"/>
        <v>72291.5</v>
      </c>
      <c r="BX46" s="36">
        <f t="shared" si="23"/>
        <v>467341</v>
      </c>
      <c r="BY46" s="36">
        <f t="shared" si="24"/>
        <v>539632.5</v>
      </c>
      <c r="BZ46" s="36">
        <f t="shared" si="25"/>
        <v>139849.49</v>
      </c>
      <c r="CA46" s="36">
        <f t="shared" si="25"/>
        <v>448264</v>
      </c>
      <c r="CB46" s="36">
        <f t="shared" si="26"/>
        <v>588113.49</v>
      </c>
    </row>
    <row r="47" spans="1:80" s="44" customFormat="1" ht="24" outlineLevel="1" x14ac:dyDescent="0.2">
      <c r="A47" s="38"/>
      <c r="B47" s="39" t="s">
        <v>66</v>
      </c>
      <c r="C47" s="63"/>
      <c r="D47" s="63"/>
      <c r="E47" s="60">
        <f t="shared" si="22"/>
        <v>0</v>
      </c>
      <c r="F47" s="63"/>
      <c r="G47" s="63"/>
      <c r="H47" s="60">
        <f t="shared" si="28"/>
        <v>0</v>
      </c>
      <c r="I47" s="63"/>
      <c r="J47" s="63"/>
      <c r="K47" s="60">
        <f t="shared" si="29"/>
        <v>0</v>
      </c>
      <c r="L47" s="63"/>
      <c r="M47" s="63"/>
      <c r="N47" s="60">
        <f t="shared" si="50"/>
        <v>0</v>
      </c>
      <c r="O47" s="63"/>
      <c r="P47" s="63"/>
      <c r="Q47" s="60">
        <f t="shared" si="30"/>
        <v>0</v>
      </c>
      <c r="R47" s="63"/>
      <c r="S47" s="63"/>
      <c r="T47" s="60">
        <f t="shared" si="31"/>
        <v>0</v>
      </c>
      <c r="U47" s="63"/>
      <c r="V47" s="63"/>
      <c r="W47" s="60">
        <f t="shared" si="32"/>
        <v>0</v>
      </c>
      <c r="X47" s="63"/>
      <c r="Y47" s="63"/>
      <c r="Z47" s="60">
        <f t="shared" si="33"/>
        <v>0</v>
      </c>
      <c r="AA47" s="63"/>
      <c r="AB47" s="63"/>
      <c r="AC47" s="60">
        <f t="shared" si="34"/>
        <v>0</v>
      </c>
      <c r="AD47" s="63"/>
      <c r="AE47" s="63"/>
      <c r="AF47" s="60">
        <f t="shared" si="35"/>
        <v>0</v>
      </c>
      <c r="AG47" s="63"/>
      <c r="AH47" s="63"/>
      <c r="AI47" s="60">
        <f t="shared" si="36"/>
        <v>0</v>
      </c>
      <c r="AJ47" s="63"/>
      <c r="AK47" s="63"/>
      <c r="AL47" s="60">
        <f t="shared" si="37"/>
        <v>0</v>
      </c>
      <c r="AM47" s="63"/>
      <c r="AN47" s="63"/>
      <c r="AO47" s="60">
        <f t="shared" si="38"/>
        <v>0</v>
      </c>
      <c r="AP47" s="63"/>
      <c r="AQ47" s="63"/>
      <c r="AR47" s="60">
        <f t="shared" si="39"/>
        <v>0</v>
      </c>
      <c r="AS47" s="63"/>
      <c r="AT47" s="63"/>
      <c r="AU47" s="60">
        <f t="shared" si="40"/>
        <v>0</v>
      </c>
      <c r="AV47" s="63"/>
      <c r="AW47" s="84"/>
      <c r="AX47" s="60">
        <f t="shared" si="41"/>
        <v>0</v>
      </c>
      <c r="AY47" s="63"/>
      <c r="AZ47" s="63"/>
      <c r="BA47" s="60">
        <f t="shared" si="42"/>
        <v>0</v>
      </c>
      <c r="BB47" s="63"/>
      <c r="BC47" s="63"/>
      <c r="BD47" s="60">
        <f t="shared" si="43"/>
        <v>0</v>
      </c>
      <c r="BE47" s="63"/>
      <c r="BF47" s="63"/>
      <c r="BG47" s="60">
        <f t="shared" si="44"/>
        <v>0</v>
      </c>
      <c r="BH47" s="63"/>
      <c r="BI47" s="63"/>
      <c r="BJ47" s="60">
        <f t="shared" si="45"/>
        <v>0</v>
      </c>
      <c r="BK47" s="63"/>
      <c r="BL47" s="63"/>
      <c r="BM47" s="60">
        <f t="shared" si="46"/>
        <v>0</v>
      </c>
      <c r="BN47" s="63"/>
      <c r="BO47" s="63"/>
      <c r="BP47" s="60">
        <f t="shared" si="47"/>
        <v>0</v>
      </c>
      <c r="BQ47" s="63"/>
      <c r="BR47" s="63"/>
      <c r="BS47" s="60">
        <f t="shared" si="48"/>
        <v>0</v>
      </c>
      <c r="BT47" s="63"/>
      <c r="BU47" s="63"/>
      <c r="BV47" s="60">
        <f t="shared" si="49"/>
        <v>0</v>
      </c>
      <c r="BW47" s="43">
        <f t="shared" si="23"/>
        <v>0</v>
      </c>
      <c r="BX47" s="43">
        <f t="shared" si="23"/>
        <v>0</v>
      </c>
      <c r="BY47" s="43">
        <f t="shared" si="24"/>
        <v>0</v>
      </c>
      <c r="BZ47" s="43">
        <f t="shared" si="25"/>
        <v>0</v>
      </c>
      <c r="CA47" s="43">
        <f t="shared" si="25"/>
        <v>0</v>
      </c>
      <c r="CB47" s="43">
        <f t="shared" si="26"/>
        <v>0</v>
      </c>
    </row>
    <row r="48" spans="1:80" outlineLevel="1" x14ac:dyDescent="0.2">
      <c r="A48" s="33">
        <v>130</v>
      </c>
      <c r="B48" s="49" t="s">
        <v>67</v>
      </c>
      <c r="C48" s="51"/>
      <c r="D48" s="51"/>
      <c r="E48" s="52">
        <f t="shared" si="22"/>
        <v>0</v>
      </c>
      <c r="F48" s="62">
        <v>3910</v>
      </c>
      <c r="G48" s="51">
        <v>10000</v>
      </c>
      <c r="H48" s="52">
        <f t="shared" si="28"/>
        <v>13910</v>
      </c>
      <c r="I48" s="62"/>
      <c r="J48" s="62"/>
      <c r="K48" s="52">
        <f t="shared" si="29"/>
        <v>0</v>
      </c>
      <c r="L48" s="62">
        <f>1500+5512.89</f>
        <v>7012.89</v>
      </c>
      <c r="M48" s="62">
        <f>65+450</f>
        <v>515</v>
      </c>
      <c r="N48" s="52">
        <f t="shared" si="50"/>
        <v>7527.89</v>
      </c>
      <c r="O48" s="51">
        <f>823+1500+500</f>
        <v>2823</v>
      </c>
      <c r="P48" s="51">
        <f>600+1500</f>
        <v>2100</v>
      </c>
      <c r="Q48" s="52">
        <f t="shared" si="30"/>
        <v>4923</v>
      </c>
      <c r="R48" s="62">
        <f>1500+823+500</f>
        <v>2823</v>
      </c>
      <c r="S48" s="51">
        <f>600+1500</f>
        <v>2100</v>
      </c>
      <c r="T48" s="52">
        <f t="shared" si="31"/>
        <v>4923</v>
      </c>
      <c r="U48" s="51">
        <f>1500+18857</f>
        <v>20357</v>
      </c>
      <c r="V48" s="51">
        <f>1290+9000+700</f>
        <v>10990</v>
      </c>
      <c r="W48" s="52">
        <f t="shared" si="32"/>
        <v>31347</v>
      </c>
      <c r="X48" s="62">
        <f>1500+18857</f>
        <v>20357</v>
      </c>
      <c r="Y48" s="51">
        <f>1290+9000+700</f>
        <v>10990</v>
      </c>
      <c r="Z48" s="52">
        <f t="shared" si="33"/>
        <v>31347</v>
      </c>
      <c r="AA48" s="51">
        <f>1500+8915.15</f>
        <v>10415.15</v>
      </c>
      <c r="AB48" s="51">
        <f>17000+1062</f>
        <v>18062</v>
      </c>
      <c r="AC48" s="52">
        <f t="shared" si="34"/>
        <v>28477.15</v>
      </c>
      <c r="AD48" s="62">
        <f>1500+8915.15</f>
        <v>10415.15</v>
      </c>
      <c r="AE48" s="62">
        <f>17000+1062</f>
        <v>18062</v>
      </c>
      <c r="AF48" s="52">
        <f t="shared" si="35"/>
        <v>28477.15</v>
      </c>
      <c r="AG48" s="51">
        <f>1500+4508.65</f>
        <v>6008.65</v>
      </c>
      <c r="AH48" s="51">
        <f>8000+7500+3800+5674</f>
        <v>24974</v>
      </c>
      <c r="AI48" s="52">
        <f t="shared" si="36"/>
        <v>30982.65</v>
      </c>
      <c r="AJ48" s="51">
        <f>1500+4508.65</f>
        <v>6008.65</v>
      </c>
      <c r="AK48" s="51">
        <f>8000+7500+3800+5674</f>
        <v>24974</v>
      </c>
      <c r="AL48" s="52">
        <f t="shared" si="37"/>
        <v>30982.65</v>
      </c>
      <c r="AM48" s="51">
        <f>1500+9039.1</f>
        <v>10539.1</v>
      </c>
      <c r="AN48" s="51">
        <f>1170+670+5300+6600+1382</f>
        <v>15122</v>
      </c>
      <c r="AO48" s="52">
        <f t="shared" si="38"/>
        <v>25661.1</v>
      </c>
      <c r="AP48" s="62">
        <f>1500+9039.1</f>
        <v>10539.1</v>
      </c>
      <c r="AQ48" s="62">
        <f>1170+670+5300+6600+1382</f>
        <v>15122</v>
      </c>
      <c r="AR48" s="52">
        <f t="shared" si="39"/>
        <v>25661.1</v>
      </c>
      <c r="AS48" s="51">
        <f>1500+5000</f>
        <v>6500</v>
      </c>
      <c r="AT48" s="51">
        <f>11489+73329</f>
        <v>84818</v>
      </c>
      <c r="AU48" s="52">
        <f t="shared" si="40"/>
        <v>91318</v>
      </c>
      <c r="AV48" s="51">
        <f>5000+1500</f>
        <v>6500</v>
      </c>
      <c r="AW48" s="62">
        <f>39378</f>
        <v>39378</v>
      </c>
      <c r="AX48" s="52">
        <f t="shared" si="41"/>
        <v>45878</v>
      </c>
      <c r="AY48" s="51"/>
      <c r="AZ48" s="51">
        <f>8205+18308</f>
        <v>26513</v>
      </c>
      <c r="BA48" s="52">
        <f t="shared" si="42"/>
        <v>26513</v>
      </c>
      <c r="BB48" s="62">
        <f>1500+5343.01</f>
        <v>6843.01</v>
      </c>
      <c r="BC48" s="51">
        <f>18308+8205</f>
        <v>26513</v>
      </c>
      <c r="BD48" s="52">
        <f t="shared" si="43"/>
        <v>33356.01</v>
      </c>
      <c r="BE48" s="51">
        <f>6424+3086.79</f>
        <v>9510.7900000000009</v>
      </c>
      <c r="BF48" s="51">
        <f>16482+210</f>
        <v>16692</v>
      </c>
      <c r="BG48" s="52">
        <f t="shared" si="44"/>
        <v>26202.79</v>
      </c>
      <c r="BH48" s="62"/>
      <c r="BI48" s="51"/>
      <c r="BJ48" s="52">
        <f t="shared" si="45"/>
        <v>0</v>
      </c>
      <c r="BK48" s="51"/>
      <c r="BL48" s="51"/>
      <c r="BM48" s="52">
        <f t="shared" si="46"/>
        <v>0</v>
      </c>
      <c r="BN48" s="62"/>
      <c r="BO48" s="51"/>
      <c r="BP48" s="52">
        <f t="shared" si="47"/>
        <v>0</v>
      </c>
      <c r="BQ48" s="51"/>
      <c r="BR48" s="51"/>
      <c r="BS48" s="52">
        <f t="shared" si="48"/>
        <v>0</v>
      </c>
      <c r="BT48" s="62"/>
      <c r="BU48" s="51"/>
      <c r="BV48" s="52">
        <f t="shared" si="49"/>
        <v>0</v>
      </c>
      <c r="BW48" s="36">
        <f t="shared" si="23"/>
        <v>66153.69</v>
      </c>
      <c r="BX48" s="36">
        <f t="shared" si="23"/>
        <v>199271</v>
      </c>
      <c r="BY48" s="36">
        <f t="shared" si="24"/>
        <v>265424.69</v>
      </c>
      <c r="BZ48" s="36">
        <f t="shared" si="25"/>
        <v>74408.800000000003</v>
      </c>
      <c r="CA48" s="36">
        <f t="shared" si="25"/>
        <v>147654</v>
      </c>
      <c r="CB48" s="36">
        <f t="shared" si="26"/>
        <v>222062.8</v>
      </c>
    </row>
    <row r="49" spans="1:80" s="44" customFormat="1" ht="24" outlineLevel="1" x14ac:dyDescent="0.2">
      <c r="A49" s="38"/>
      <c r="B49" s="39" t="s">
        <v>68</v>
      </c>
      <c r="C49" s="63"/>
      <c r="D49" s="63"/>
      <c r="E49" s="60">
        <f t="shared" si="22"/>
        <v>0</v>
      </c>
      <c r="F49" s="63"/>
      <c r="G49" s="63"/>
      <c r="H49" s="60">
        <f t="shared" si="28"/>
        <v>0</v>
      </c>
      <c r="I49" s="84"/>
      <c r="J49" s="63"/>
      <c r="K49" s="60">
        <f t="shared" si="29"/>
        <v>0</v>
      </c>
      <c r="L49" s="84"/>
      <c r="M49" s="63"/>
      <c r="N49" s="60">
        <f t="shared" si="50"/>
        <v>0</v>
      </c>
      <c r="O49" s="63"/>
      <c r="P49" s="63"/>
      <c r="Q49" s="60">
        <f t="shared" si="30"/>
        <v>0</v>
      </c>
      <c r="R49" s="63"/>
      <c r="S49" s="63"/>
      <c r="T49" s="60">
        <f t="shared" si="31"/>
        <v>0</v>
      </c>
      <c r="U49" s="63"/>
      <c r="V49" s="63"/>
      <c r="W49" s="60">
        <f t="shared" si="32"/>
        <v>0</v>
      </c>
      <c r="X49" s="63"/>
      <c r="Y49" s="63"/>
      <c r="Z49" s="60">
        <f t="shared" si="33"/>
        <v>0</v>
      </c>
      <c r="AA49" s="63"/>
      <c r="AB49" s="63"/>
      <c r="AC49" s="60">
        <f t="shared" si="34"/>
        <v>0</v>
      </c>
      <c r="AD49" s="63"/>
      <c r="AE49" s="63"/>
      <c r="AF49" s="60">
        <f t="shared" si="35"/>
        <v>0</v>
      </c>
      <c r="AG49" s="63"/>
      <c r="AH49" s="63"/>
      <c r="AI49" s="60">
        <f t="shared" si="36"/>
        <v>0</v>
      </c>
      <c r="AJ49" s="63"/>
      <c r="AK49" s="63"/>
      <c r="AL49" s="60">
        <f t="shared" si="37"/>
        <v>0</v>
      </c>
      <c r="AM49" s="63"/>
      <c r="AN49" s="63"/>
      <c r="AO49" s="60">
        <f t="shared" si="38"/>
        <v>0</v>
      </c>
      <c r="AP49" s="63"/>
      <c r="AQ49" s="63"/>
      <c r="AR49" s="60">
        <f t="shared" si="39"/>
        <v>0</v>
      </c>
      <c r="AS49" s="63"/>
      <c r="AT49" s="63"/>
      <c r="AU49" s="60">
        <f t="shared" si="40"/>
        <v>0</v>
      </c>
      <c r="AV49" s="63"/>
      <c r="AW49" s="84"/>
      <c r="AX49" s="60">
        <f t="shared" si="41"/>
        <v>0</v>
      </c>
      <c r="AY49" s="63"/>
      <c r="AZ49" s="63"/>
      <c r="BA49" s="60">
        <f t="shared" si="42"/>
        <v>0</v>
      </c>
      <c r="BB49" s="63"/>
      <c r="BC49" s="63"/>
      <c r="BD49" s="60">
        <f t="shared" si="43"/>
        <v>0</v>
      </c>
      <c r="BE49" s="63"/>
      <c r="BF49" s="63"/>
      <c r="BG49" s="60">
        <f t="shared" si="44"/>
        <v>0</v>
      </c>
      <c r="BH49" s="63"/>
      <c r="BI49" s="63"/>
      <c r="BJ49" s="60">
        <f t="shared" si="45"/>
        <v>0</v>
      </c>
      <c r="BK49" s="63"/>
      <c r="BL49" s="63"/>
      <c r="BM49" s="60">
        <f t="shared" si="46"/>
        <v>0</v>
      </c>
      <c r="BN49" s="63"/>
      <c r="BO49" s="63"/>
      <c r="BP49" s="60">
        <f t="shared" si="47"/>
        <v>0</v>
      </c>
      <c r="BQ49" s="63"/>
      <c r="BR49" s="63"/>
      <c r="BS49" s="60">
        <f t="shared" si="48"/>
        <v>0</v>
      </c>
      <c r="BT49" s="63"/>
      <c r="BU49" s="63"/>
      <c r="BV49" s="60">
        <f t="shared" si="49"/>
        <v>0</v>
      </c>
      <c r="BW49" s="43">
        <f t="shared" si="23"/>
        <v>0</v>
      </c>
      <c r="BX49" s="43">
        <f t="shared" si="23"/>
        <v>0</v>
      </c>
      <c r="BY49" s="43">
        <f t="shared" si="24"/>
        <v>0</v>
      </c>
      <c r="BZ49" s="43">
        <f t="shared" si="25"/>
        <v>0</v>
      </c>
      <c r="CA49" s="43">
        <f t="shared" si="25"/>
        <v>0</v>
      </c>
      <c r="CB49" s="43">
        <f t="shared" si="26"/>
        <v>0</v>
      </c>
    </row>
    <row r="50" spans="1:80" outlineLevel="1" x14ac:dyDescent="0.2">
      <c r="A50" s="33">
        <v>131</v>
      </c>
      <c r="B50" s="49" t="s">
        <v>69</v>
      </c>
      <c r="C50" s="51"/>
      <c r="D50" s="51"/>
      <c r="E50" s="52">
        <f t="shared" si="22"/>
        <v>0</v>
      </c>
      <c r="F50" s="51"/>
      <c r="G50" s="51"/>
      <c r="H50" s="52">
        <f t="shared" si="28"/>
        <v>0</v>
      </c>
      <c r="I50" s="62"/>
      <c r="J50" s="51"/>
      <c r="K50" s="52">
        <f t="shared" si="29"/>
        <v>0</v>
      </c>
      <c r="L50" s="62"/>
      <c r="M50" s="51"/>
      <c r="N50" s="52">
        <f t="shared" si="50"/>
        <v>0</v>
      </c>
      <c r="O50" s="51"/>
      <c r="P50" s="51">
        <v>130</v>
      </c>
      <c r="Q50" s="52">
        <f t="shared" si="30"/>
        <v>130</v>
      </c>
      <c r="R50" s="51"/>
      <c r="S50" s="51">
        <v>130</v>
      </c>
      <c r="T50" s="52">
        <f t="shared" si="31"/>
        <v>130</v>
      </c>
      <c r="U50" s="51"/>
      <c r="V50" s="51">
        <v>200</v>
      </c>
      <c r="W50" s="52">
        <f t="shared" si="32"/>
        <v>200</v>
      </c>
      <c r="X50" s="51"/>
      <c r="Y50" s="51">
        <v>200</v>
      </c>
      <c r="Z50" s="52">
        <f t="shared" si="33"/>
        <v>200</v>
      </c>
      <c r="AA50" s="51">
        <v>3000</v>
      </c>
      <c r="AB50" s="51">
        <v>978</v>
      </c>
      <c r="AC50" s="52">
        <f t="shared" si="34"/>
        <v>3978</v>
      </c>
      <c r="AD50" s="62">
        <v>3000</v>
      </c>
      <c r="AE50" s="62">
        <v>978</v>
      </c>
      <c r="AF50" s="52">
        <f t="shared" si="35"/>
        <v>3978</v>
      </c>
      <c r="AG50" s="51"/>
      <c r="AH50" s="51">
        <v>950</v>
      </c>
      <c r="AI50" s="52">
        <f t="shared" si="36"/>
        <v>950</v>
      </c>
      <c r="AJ50" s="51"/>
      <c r="AK50" s="51">
        <v>950</v>
      </c>
      <c r="AL50" s="52">
        <f t="shared" si="37"/>
        <v>950</v>
      </c>
      <c r="AM50" s="51"/>
      <c r="AN50" s="51"/>
      <c r="AO50" s="52">
        <f t="shared" si="38"/>
        <v>0</v>
      </c>
      <c r="AP50" s="51"/>
      <c r="AQ50" s="51"/>
      <c r="AR50" s="52">
        <f t="shared" si="39"/>
        <v>0</v>
      </c>
      <c r="AS50" s="51"/>
      <c r="AT50" s="51"/>
      <c r="AU50" s="52">
        <f t="shared" si="40"/>
        <v>0</v>
      </c>
      <c r="AV50" s="51"/>
      <c r="AW50" s="51"/>
      <c r="AX50" s="52">
        <f t="shared" si="41"/>
        <v>0</v>
      </c>
      <c r="AY50" s="51"/>
      <c r="AZ50" s="51">
        <v>232</v>
      </c>
      <c r="BA50" s="52">
        <f t="shared" si="42"/>
        <v>232</v>
      </c>
      <c r="BB50" s="51"/>
      <c r="BC50" s="51">
        <v>232</v>
      </c>
      <c r="BD50" s="52">
        <f t="shared" si="43"/>
        <v>232</v>
      </c>
      <c r="BE50" s="51">
        <v>16000</v>
      </c>
      <c r="BF50" s="51">
        <v>10147</v>
      </c>
      <c r="BG50" s="52">
        <f t="shared" si="44"/>
        <v>26147</v>
      </c>
      <c r="BH50" s="51"/>
      <c r="BI50" s="51"/>
      <c r="BJ50" s="52">
        <f t="shared" si="45"/>
        <v>0</v>
      </c>
      <c r="BK50" s="51"/>
      <c r="BL50" s="51"/>
      <c r="BM50" s="52">
        <f t="shared" si="46"/>
        <v>0</v>
      </c>
      <c r="BN50" s="51"/>
      <c r="BO50" s="51"/>
      <c r="BP50" s="52">
        <f t="shared" si="47"/>
        <v>0</v>
      </c>
      <c r="BQ50" s="51"/>
      <c r="BR50" s="51"/>
      <c r="BS50" s="52">
        <f t="shared" si="48"/>
        <v>0</v>
      </c>
      <c r="BT50" s="51"/>
      <c r="BU50" s="51"/>
      <c r="BV50" s="52">
        <f t="shared" si="49"/>
        <v>0</v>
      </c>
      <c r="BW50" s="36">
        <f t="shared" si="23"/>
        <v>19000</v>
      </c>
      <c r="BX50" s="36">
        <f t="shared" si="23"/>
        <v>12637</v>
      </c>
      <c r="BY50" s="36">
        <f t="shared" si="24"/>
        <v>31637</v>
      </c>
      <c r="BZ50" s="36">
        <f t="shared" si="25"/>
        <v>3000</v>
      </c>
      <c r="CA50" s="36">
        <f t="shared" si="25"/>
        <v>2490</v>
      </c>
      <c r="CB50" s="36">
        <f t="shared" si="26"/>
        <v>5490</v>
      </c>
    </row>
    <row r="51" spans="1:80" s="44" customFormat="1" ht="12" outlineLevel="1" x14ac:dyDescent="0.2">
      <c r="A51" s="38"/>
      <c r="B51" s="39" t="s">
        <v>70</v>
      </c>
      <c r="C51" s="63"/>
      <c r="D51" s="63"/>
      <c r="E51" s="60">
        <f t="shared" si="22"/>
        <v>0</v>
      </c>
      <c r="F51" s="63"/>
      <c r="G51" s="63"/>
      <c r="H51" s="60">
        <f t="shared" si="28"/>
        <v>0</v>
      </c>
      <c r="I51" s="84"/>
      <c r="J51" s="63"/>
      <c r="K51" s="60">
        <f t="shared" si="29"/>
        <v>0</v>
      </c>
      <c r="L51" s="84"/>
      <c r="M51" s="63"/>
      <c r="N51" s="60">
        <f t="shared" si="50"/>
        <v>0</v>
      </c>
      <c r="O51" s="63"/>
      <c r="P51" s="63"/>
      <c r="Q51" s="60">
        <f t="shared" si="30"/>
        <v>0</v>
      </c>
      <c r="R51" s="63"/>
      <c r="S51" s="63"/>
      <c r="T51" s="60">
        <f t="shared" si="31"/>
        <v>0</v>
      </c>
      <c r="U51" s="63"/>
      <c r="V51" s="63"/>
      <c r="W51" s="60">
        <f t="shared" si="32"/>
        <v>0</v>
      </c>
      <c r="X51" s="63"/>
      <c r="Y51" s="63"/>
      <c r="Z51" s="60">
        <f t="shared" si="33"/>
        <v>0</v>
      </c>
      <c r="AA51" s="63"/>
      <c r="AB51" s="63"/>
      <c r="AC51" s="60">
        <f t="shared" si="34"/>
        <v>0</v>
      </c>
      <c r="AD51" s="63"/>
      <c r="AE51" s="63"/>
      <c r="AF51" s="60">
        <f t="shared" si="35"/>
        <v>0</v>
      </c>
      <c r="AG51" s="63"/>
      <c r="AH51" s="63"/>
      <c r="AI51" s="60">
        <f t="shared" si="36"/>
        <v>0</v>
      </c>
      <c r="AJ51" s="63"/>
      <c r="AK51" s="63"/>
      <c r="AL51" s="60">
        <f t="shared" si="37"/>
        <v>0</v>
      </c>
      <c r="AM51" s="63"/>
      <c r="AN51" s="63"/>
      <c r="AO51" s="60">
        <f t="shared" si="38"/>
        <v>0</v>
      </c>
      <c r="AP51" s="63"/>
      <c r="AQ51" s="63"/>
      <c r="AR51" s="60">
        <f t="shared" si="39"/>
        <v>0</v>
      </c>
      <c r="AS51" s="63"/>
      <c r="AT51" s="63"/>
      <c r="AU51" s="60">
        <f t="shared" si="40"/>
        <v>0</v>
      </c>
      <c r="AV51" s="63"/>
      <c r="AW51" s="63"/>
      <c r="AX51" s="60">
        <f t="shared" si="41"/>
        <v>0</v>
      </c>
      <c r="AY51" s="63"/>
      <c r="AZ51" s="63"/>
      <c r="BA51" s="60">
        <f t="shared" si="42"/>
        <v>0</v>
      </c>
      <c r="BB51" s="63"/>
      <c r="BC51" s="63"/>
      <c r="BD51" s="60">
        <f t="shared" si="43"/>
        <v>0</v>
      </c>
      <c r="BE51" s="63"/>
      <c r="BF51" s="63"/>
      <c r="BG51" s="60">
        <f t="shared" si="44"/>
        <v>0</v>
      </c>
      <c r="BH51" s="63"/>
      <c r="BI51" s="63"/>
      <c r="BJ51" s="60">
        <f t="shared" si="45"/>
        <v>0</v>
      </c>
      <c r="BK51" s="63"/>
      <c r="BL51" s="63"/>
      <c r="BM51" s="60">
        <f t="shared" si="46"/>
        <v>0</v>
      </c>
      <c r="BN51" s="63"/>
      <c r="BO51" s="63"/>
      <c r="BP51" s="60">
        <f t="shared" si="47"/>
        <v>0</v>
      </c>
      <c r="BQ51" s="63"/>
      <c r="BR51" s="63"/>
      <c r="BS51" s="60">
        <f t="shared" si="48"/>
        <v>0</v>
      </c>
      <c r="BT51" s="63"/>
      <c r="BU51" s="63"/>
      <c r="BV51" s="60">
        <f t="shared" si="49"/>
        <v>0</v>
      </c>
      <c r="BW51" s="43">
        <f t="shared" si="23"/>
        <v>0</v>
      </c>
      <c r="BX51" s="43">
        <f t="shared" si="23"/>
        <v>0</v>
      </c>
      <c r="BY51" s="43">
        <f t="shared" si="24"/>
        <v>0</v>
      </c>
      <c r="BZ51" s="43">
        <f t="shared" si="25"/>
        <v>0</v>
      </c>
      <c r="CA51" s="43">
        <f t="shared" si="25"/>
        <v>0</v>
      </c>
      <c r="CB51" s="43">
        <f t="shared" si="26"/>
        <v>0</v>
      </c>
    </row>
    <row r="52" spans="1:80" ht="25.5" outlineLevel="1" x14ac:dyDescent="0.2">
      <c r="A52" s="33">
        <v>132</v>
      </c>
      <c r="B52" s="49" t="s">
        <v>71</v>
      </c>
      <c r="C52" s="51"/>
      <c r="D52" s="51"/>
      <c r="E52" s="52">
        <f t="shared" si="22"/>
        <v>0</v>
      </c>
      <c r="F52" s="51"/>
      <c r="G52" s="51"/>
      <c r="H52" s="52">
        <f t="shared" si="28"/>
        <v>0</v>
      </c>
      <c r="I52" s="62"/>
      <c r="J52" s="51"/>
      <c r="K52" s="52">
        <f t="shared" si="29"/>
        <v>0</v>
      </c>
      <c r="L52" s="62"/>
      <c r="M52" s="51"/>
      <c r="N52" s="52">
        <f t="shared" si="50"/>
        <v>0</v>
      </c>
      <c r="O52" s="51"/>
      <c r="P52" s="51"/>
      <c r="Q52" s="52">
        <f t="shared" si="30"/>
        <v>0</v>
      </c>
      <c r="R52" s="51"/>
      <c r="S52" s="51"/>
      <c r="T52" s="52">
        <f t="shared" si="31"/>
        <v>0</v>
      </c>
      <c r="U52" s="51"/>
      <c r="V52" s="51">
        <f>1700+1000</f>
        <v>2700</v>
      </c>
      <c r="W52" s="52">
        <f t="shared" si="32"/>
        <v>2700</v>
      </c>
      <c r="X52" s="51"/>
      <c r="Y52" s="51">
        <f>1700+1000</f>
        <v>2700</v>
      </c>
      <c r="Z52" s="52">
        <f t="shared" si="33"/>
        <v>2700</v>
      </c>
      <c r="AA52" s="51"/>
      <c r="AB52" s="51">
        <f>6000</f>
        <v>6000</v>
      </c>
      <c r="AC52" s="52">
        <f t="shared" si="34"/>
        <v>6000</v>
      </c>
      <c r="AD52" s="62">
        <v>5400.02</v>
      </c>
      <c r="AE52" s="62">
        <f>6000</f>
        <v>6000</v>
      </c>
      <c r="AF52" s="52">
        <f t="shared" si="35"/>
        <v>11400.02</v>
      </c>
      <c r="AG52" s="51"/>
      <c r="AH52" s="51">
        <f>500+5900+500+2500</f>
        <v>9400</v>
      </c>
      <c r="AI52" s="52">
        <f t="shared" si="36"/>
        <v>9400</v>
      </c>
      <c r="AJ52" s="51"/>
      <c r="AK52" s="51">
        <f>500+5900+500+2500</f>
        <v>9400</v>
      </c>
      <c r="AL52" s="52">
        <f t="shared" si="37"/>
        <v>9400</v>
      </c>
      <c r="AM52" s="51"/>
      <c r="AN52" s="51">
        <f>8039+2000</f>
        <v>10039</v>
      </c>
      <c r="AO52" s="52">
        <f t="shared" si="38"/>
        <v>10039</v>
      </c>
      <c r="AP52" s="51"/>
      <c r="AQ52" s="62">
        <f>8039+2000</f>
        <v>10039</v>
      </c>
      <c r="AR52" s="52">
        <f t="shared" si="39"/>
        <v>10039</v>
      </c>
      <c r="AS52" s="51"/>
      <c r="AT52" s="51">
        <v>23959</v>
      </c>
      <c r="AU52" s="52">
        <f t="shared" si="40"/>
        <v>23959</v>
      </c>
      <c r="AV52" s="51"/>
      <c r="AW52" s="51">
        <v>23959</v>
      </c>
      <c r="AX52" s="52">
        <f t="shared" si="41"/>
        <v>23959</v>
      </c>
      <c r="AY52" s="51">
        <v>7740</v>
      </c>
      <c r="AZ52" s="51">
        <v>4410</v>
      </c>
      <c r="BA52" s="52">
        <f t="shared" si="42"/>
        <v>12150</v>
      </c>
      <c r="BB52" s="62">
        <v>7740</v>
      </c>
      <c r="BC52" s="51">
        <v>4410</v>
      </c>
      <c r="BD52" s="52">
        <f t="shared" si="43"/>
        <v>12150</v>
      </c>
      <c r="BE52" s="51">
        <v>30532.02</v>
      </c>
      <c r="BF52" s="51">
        <v>4690</v>
      </c>
      <c r="BG52" s="52">
        <f t="shared" si="44"/>
        <v>35222.020000000004</v>
      </c>
      <c r="BH52" s="51"/>
      <c r="BI52" s="51"/>
      <c r="BJ52" s="52">
        <f t="shared" si="45"/>
        <v>0</v>
      </c>
      <c r="BK52" s="51"/>
      <c r="BL52" s="51"/>
      <c r="BM52" s="52">
        <f t="shared" si="46"/>
        <v>0</v>
      </c>
      <c r="BN52" s="51"/>
      <c r="BO52" s="51"/>
      <c r="BP52" s="52">
        <f t="shared" si="47"/>
        <v>0</v>
      </c>
      <c r="BQ52" s="51"/>
      <c r="BR52" s="51"/>
      <c r="BS52" s="52">
        <f t="shared" si="48"/>
        <v>0</v>
      </c>
      <c r="BT52" s="51"/>
      <c r="BU52" s="51"/>
      <c r="BV52" s="52">
        <f t="shared" si="49"/>
        <v>0</v>
      </c>
      <c r="BW52" s="36">
        <f t="shared" si="23"/>
        <v>38272.020000000004</v>
      </c>
      <c r="BX52" s="36">
        <f t="shared" si="23"/>
        <v>61198</v>
      </c>
      <c r="BY52" s="36">
        <f t="shared" si="24"/>
        <v>99470.02</v>
      </c>
      <c r="BZ52" s="36">
        <f t="shared" si="25"/>
        <v>13140.02</v>
      </c>
      <c r="CA52" s="36">
        <f t="shared" si="25"/>
        <v>56508</v>
      </c>
      <c r="CB52" s="36">
        <f t="shared" si="26"/>
        <v>69648.02</v>
      </c>
    </row>
    <row r="53" spans="1:80" outlineLevel="1" x14ac:dyDescent="0.2">
      <c r="A53" s="33">
        <v>133</v>
      </c>
      <c r="B53" s="49" t="s">
        <v>72</v>
      </c>
      <c r="C53" s="51"/>
      <c r="D53" s="51"/>
      <c r="E53" s="52">
        <f t="shared" si="22"/>
        <v>0</v>
      </c>
      <c r="F53" s="51"/>
      <c r="G53" s="51"/>
      <c r="H53" s="52">
        <f t="shared" si="28"/>
        <v>0</v>
      </c>
      <c r="I53" s="62"/>
      <c r="J53" s="51"/>
      <c r="K53" s="52">
        <f t="shared" si="29"/>
        <v>0</v>
      </c>
      <c r="L53" s="62"/>
      <c r="M53" s="51"/>
      <c r="N53" s="52">
        <f t="shared" si="50"/>
        <v>0</v>
      </c>
      <c r="O53" s="51"/>
      <c r="P53" s="51"/>
      <c r="Q53" s="52">
        <f t="shared" si="30"/>
        <v>0</v>
      </c>
      <c r="R53" s="51"/>
      <c r="S53" s="51"/>
      <c r="T53" s="52">
        <f t="shared" si="31"/>
        <v>0</v>
      </c>
      <c r="U53" s="51"/>
      <c r="V53" s="51"/>
      <c r="W53" s="52">
        <f t="shared" si="32"/>
        <v>0</v>
      </c>
      <c r="X53" s="51"/>
      <c r="Y53" s="51"/>
      <c r="Z53" s="52">
        <f t="shared" si="33"/>
        <v>0</v>
      </c>
      <c r="AA53" s="51"/>
      <c r="AB53" s="51"/>
      <c r="AC53" s="52">
        <f t="shared" si="34"/>
        <v>0</v>
      </c>
      <c r="AD53" s="51"/>
      <c r="AE53" s="51"/>
      <c r="AF53" s="52">
        <f t="shared" si="35"/>
        <v>0</v>
      </c>
      <c r="AG53" s="51"/>
      <c r="AH53" s="51">
        <v>3900</v>
      </c>
      <c r="AI53" s="52">
        <f t="shared" si="36"/>
        <v>3900</v>
      </c>
      <c r="AJ53" s="51"/>
      <c r="AK53" s="51">
        <v>3900</v>
      </c>
      <c r="AL53" s="52">
        <f t="shared" si="37"/>
        <v>3900</v>
      </c>
      <c r="AM53" s="51"/>
      <c r="AN53" s="51">
        <v>7727</v>
      </c>
      <c r="AO53" s="52">
        <f t="shared" si="38"/>
        <v>7727</v>
      </c>
      <c r="AP53" s="51"/>
      <c r="AQ53" s="62">
        <v>7727</v>
      </c>
      <c r="AR53" s="52">
        <f t="shared" si="39"/>
        <v>7727</v>
      </c>
      <c r="AS53" s="51"/>
      <c r="AT53" s="51">
        <v>10200</v>
      </c>
      <c r="AU53" s="52">
        <f t="shared" si="40"/>
        <v>10200</v>
      </c>
      <c r="AV53" s="51"/>
      <c r="AW53" s="51">
        <v>10200</v>
      </c>
      <c r="AX53" s="52">
        <f t="shared" si="41"/>
        <v>10200</v>
      </c>
      <c r="AY53" s="51"/>
      <c r="AZ53" s="51"/>
      <c r="BA53" s="52">
        <f t="shared" si="42"/>
        <v>0</v>
      </c>
      <c r="BB53" s="51"/>
      <c r="BC53" s="51"/>
      <c r="BD53" s="52">
        <f t="shared" si="43"/>
        <v>0</v>
      </c>
      <c r="BE53" s="51"/>
      <c r="BF53" s="51">
        <v>190</v>
      </c>
      <c r="BG53" s="52">
        <f t="shared" si="44"/>
        <v>190</v>
      </c>
      <c r="BH53" s="51"/>
      <c r="BI53" s="51"/>
      <c r="BJ53" s="52">
        <f t="shared" si="45"/>
        <v>0</v>
      </c>
      <c r="BK53" s="51"/>
      <c r="BL53" s="51"/>
      <c r="BM53" s="52">
        <f t="shared" si="46"/>
        <v>0</v>
      </c>
      <c r="BN53" s="62"/>
      <c r="BO53" s="51"/>
      <c r="BP53" s="52">
        <f t="shared" si="47"/>
        <v>0</v>
      </c>
      <c r="BQ53" s="51"/>
      <c r="BR53" s="51"/>
      <c r="BS53" s="52">
        <f t="shared" si="48"/>
        <v>0</v>
      </c>
      <c r="BT53" s="51"/>
      <c r="BU53" s="51"/>
      <c r="BV53" s="52">
        <f t="shared" si="49"/>
        <v>0</v>
      </c>
      <c r="BW53" s="36">
        <f t="shared" si="23"/>
        <v>0</v>
      </c>
      <c r="BX53" s="36">
        <f t="shared" si="23"/>
        <v>22017</v>
      </c>
      <c r="BY53" s="36">
        <f t="shared" si="24"/>
        <v>22017</v>
      </c>
      <c r="BZ53" s="36">
        <f t="shared" si="25"/>
        <v>0</v>
      </c>
      <c r="CA53" s="36">
        <f t="shared" si="25"/>
        <v>21827</v>
      </c>
      <c r="CB53" s="36">
        <f t="shared" si="26"/>
        <v>21827</v>
      </c>
    </row>
    <row r="54" spans="1:80" outlineLevel="1" x14ac:dyDescent="0.2">
      <c r="A54" s="33">
        <v>134</v>
      </c>
      <c r="B54" s="49" t="s">
        <v>73</v>
      </c>
      <c r="C54" s="51"/>
      <c r="D54" s="51"/>
      <c r="E54" s="52">
        <f t="shared" si="22"/>
        <v>0</v>
      </c>
      <c r="F54" s="62">
        <v>467.45</v>
      </c>
      <c r="G54" s="51"/>
      <c r="H54" s="52">
        <f t="shared" si="28"/>
        <v>467.45</v>
      </c>
      <c r="I54" s="62"/>
      <c r="J54" s="51"/>
      <c r="K54" s="52">
        <f t="shared" si="29"/>
        <v>0</v>
      </c>
      <c r="L54" s="62">
        <v>600.45000000000005</v>
      </c>
      <c r="M54" s="51"/>
      <c r="N54" s="52">
        <f t="shared" si="50"/>
        <v>600.45000000000005</v>
      </c>
      <c r="O54" s="51">
        <v>494.45</v>
      </c>
      <c r="P54" s="51"/>
      <c r="Q54" s="52">
        <f t="shared" si="30"/>
        <v>494.45</v>
      </c>
      <c r="R54" s="62">
        <v>494.45</v>
      </c>
      <c r="S54" s="51"/>
      <c r="T54" s="52">
        <f t="shared" si="31"/>
        <v>494.45</v>
      </c>
      <c r="U54" s="51">
        <v>489.99</v>
      </c>
      <c r="V54" s="51"/>
      <c r="W54" s="52">
        <f t="shared" si="32"/>
        <v>489.99</v>
      </c>
      <c r="X54" s="62">
        <v>489.99</v>
      </c>
      <c r="Y54" s="51"/>
      <c r="Z54" s="52">
        <f t="shared" si="33"/>
        <v>489.99</v>
      </c>
      <c r="AA54" s="51">
        <v>5892.02</v>
      </c>
      <c r="AB54" s="51"/>
      <c r="AC54" s="52">
        <f t="shared" si="34"/>
        <v>5892.02</v>
      </c>
      <c r="AD54" s="62">
        <v>1813.94</v>
      </c>
      <c r="AE54" s="51"/>
      <c r="AF54" s="52">
        <f t="shared" si="35"/>
        <v>1813.94</v>
      </c>
      <c r="AG54" s="51">
        <v>959</v>
      </c>
      <c r="AH54" s="51">
        <v>1003</v>
      </c>
      <c r="AI54" s="52">
        <f t="shared" si="36"/>
        <v>1962</v>
      </c>
      <c r="AJ54" s="51">
        <f>460+499</f>
        <v>959</v>
      </c>
      <c r="AK54" s="51">
        <v>1003</v>
      </c>
      <c r="AL54" s="52">
        <f t="shared" si="37"/>
        <v>1962</v>
      </c>
      <c r="AM54" s="51">
        <v>492</v>
      </c>
      <c r="AN54" s="51"/>
      <c r="AO54" s="52">
        <f t="shared" si="38"/>
        <v>492</v>
      </c>
      <c r="AP54" s="62">
        <v>492</v>
      </c>
      <c r="AQ54" s="51"/>
      <c r="AR54" s="52">
        <f t="shared" si="39"/>
        <v>492</v>
      </c>
      <c r="AS54" s="51">
        <f>293.32+494</f>
        <v>787.31999999999994</v>
      </c>
      <c r="AT54" s="51"/>
      <c r="AU54" s="52">
        <f t="shared" si="40"/>
        <v>787.31999999999994</v>
      </c>
      <c r="AV54" s="51">
        <f>293.32+494</f>
        <v>787.31999999999994</v>
      </c>
      <c r="AW54" s="51"/>
      <c r="AX54" s="52">
        <f t="shared" si="41"/>
        <v>787.31999999999994</v>
      </c>
      <c r="AY54" s="51">
        <f>913.6+539</f>
        <v>1452.6</v>
      </c>
      <c r="AZ54" s="51"/>
      <c r="BA54" s="52">
        <f t="shared" si="42"/>
        <v>1452.6</v>
      </c>
      <c r="BB54" s="62">
        <f>1104.45+542+3</f>
        <v>1649.45</v>
      </c>
      <c r="BC54" s="51"/>
      <c r="BD54" s="52">
        <f t="shared" si="43"/>
        <v>1649.45</v>
      </c>
      <c r="BE54" s="51">
        <v>1320.77</v>
      </c>
      <c r="BF54" s="51"/>
      <c r="BG54" s="52">
        <f t="shared" si="44"/>
        <v>1320.77</v>
      </c>
      <c r="BH54" s="62"/>
      <c r="BI54" s="51"/>
      <c r="BJ54" s="52">
        <f t="shared" si="45"/>
        <v>0</v>
      </c>
      <c r="BK54" s="51"/>
      <c r="BL54" s="51"/>
      <c r="BM54" s="52">
        <f t="shared" si="46"/>
        <v>0</v>
      </c>
      <c r="BN54" s="62"/>
      <c r="BO54" s="51"/>
      <c r="BP54" s="52">
        <f t="shared" si="47"/>
        <v>0</v>
      </c>
      <c r="BQ54" s="51"/>
      <c r="BR54" s="51"/>
      <c r="BS54" s="52">
        <f t="shared" si="48"/>
        <v>0</v>
      </c>
      <c r="BT54" s="62"/>
      <c r="BU54" s="51"/>
      <c r="BV54" s="52">
        <f t="shared" si="49"/>
        <v>0</v>
      </c>
      <c r="BW54" s="36">
        <f t="shared" si="23"/>
        <v>11888.150000000001</v>
      </c>
      <c r="BX54" s="36">
        <f t="shared" si="23"/>
        <v>1003</v>
      </c>
      <c r="BY54" s="36">
        <f t="shared" si="24"/>
        <v>12891.150000000001</v>
      </c>
      <c r="BZ54" s="36">
        <f t="shared" si="25"/>
        <v>7754.05</v>
      </c>
      <c r="CA54" s="36">
        <f t="shared" si="25"/>
        <v>1003</v>
      </c>
      <c r="CB54" s="36">
        <f t="shared" si="26"/>
        <v>8757.0499999999993</v>
      </c>
    </row>
    <row r="55" spans="1:80" ht="25.5" outlineLevel="1" x14ac:dyDescent="0.2">
      <c r="A55" s="33">
        <v>135</v>
      </c>
      <c r="B55" s="49" t="s">
        <v>74</v>
      </c>
      <c r="C55" s="51"/>
      <c r="D55" s="51"/>
      <c r="E55" s="52">
        <f t="shared" si="22"/>
        <v>0</v>
      </c>
      <c r="F55" s="51"/>
      <c r="G55" s="51">
        <v>385</v>
      </c>
      <c r="H55" s="52">
        <f t="shared" si="28"/>
        <v>385</v>
      </c>
      <c r="I55" s="51"/>
      <c r="J55" s="62"/>
      <c r="K55" s="52">
        <f t="shared" si="29"/>
        <v>0</v>
      </c>
      <c r="L55" s="51"/>
      <c r="M55" s="62">
        <v>750</v>
      </c>
      <c r="N55" s="52">
        <f t="shared" si="50"/>
        <v>750</v>
      </c>
      <c r="O55" s="51"/>
      <c r="P55" s="51"/>
      <c r="Q55" s="52">
        <f t="shared" si="30"/>
        <v>0</v>
      </c>
      <c r="R55" s="51"/>
      <c r="S55" s="51"/>
      <c r="T55" s="52">
        <f t="shared" si="31"/>
        <v>0</v>
      </c>
      <c r="U55" s="51"/>
      <c r="V55" s="51"/>
      <c r="W55" s="52">
        <f t="shared" si="32"/>
        <v>0</v>
      </c>
      <c r="X55" s="51"/>
      <c r="Y55" s="51"/>
      <c r="Z55" s="52">
        <f t="shared" si="33"/>
        <v>0</v>
      </c>
      <c r="AA55" s="51"/>
      <c r="AB55" s="51"/>
      <c r="AC55" s="52">
        <f t="shared" si="34"/>
        <v>0</v>
      </c>
      <c r="AD55" s="51"/>
      <c r="AE55" s="51"/>
      <c r="AF55" s="52">
        <f t="shared" si="35"/>
        <v>0</v>
      </c>
      <c r="AG55" s="51"/>
      <c r="AH55" s="51">
        <v>347</v>
      </c>
      <c r="AI55" s="52">
        <f t="shared" si="36"/>
        <v>347</v>
      </c>
      <c r="AJ55" s="51"/>
      <c r="AK55" s="51">
        <v>347</v>
      </c>
      <c r="AL55" s="52">
        <f t="shared" si="37"/>
        <v>347</v>
      </c>
      <c r="AM55" s="51"/>
      <c r="AN55" s="51"/>
      <c r="AO55" s="52">
        <f t="shared" si="38"/>
        <v>0</v>
      </c>
      <c r="AP55" s="51"/>
      <c r="AQ55" s="51"/>
      <c r="AR55" s="52">
        <f t="shared" si="39"/>
        <v>0</v>
      </c>
      <c r="AS55" s="51"/>
      <c r="AT55" s="51"/>
      <c r="AU55" s="52">
        <f t="shared" si="40"/>
        <v>0</v>
      </c>
      <c r="AV55" s="51"/>
      <c r="AW55" s="51"/>
      <c r="AX55" s="52">
        <f t="shared" si="41"/>
        <v>0</v>
      </c>
      <c r="AY55" s="51"/>
      <c r="AZ55" s="51">
        <v>6165</v>
      </c>
      <c r="BA55" s="52">
        <f t="shared" si="42"/>
        <v>6165</v>
      </c>
      <c r="BB55" s="51"/>
      <c r="BC55" s="51">
        <f>1500+3600+515+550</f>
        <v>6165</v>
      </c>
      <c r="BD55" s="52">
        <f t="shared" si="43"/>
        <v>6165</v>
      </c>
      <c r="BE55" s="51"/>
      <c r="BF55" s="51">
        <v>14700</v>
      </c>
      <c r="BG55" s="52">
        <f t="shared" si="44"/>
        <v>14700</v>
      </c>
      <c r="BH55" s="51"/>
      <c r="BI55" s="51"/>
      <c r="BJ55" s="52">
        <f t="shared" si="45"/>
        <v>0</v>
      </c>
      <c r="BK55" s="51"/>
      <c r="BL55" s="51"/>
      <c r="BM55" s="52">
        <f t="shared" si="46"/>
        <v>0</v>
      </c>
      <c r="BN55" s="51"/>
      <c r="BO55" s="51"/>
      <c r="BP55" s="52">
        <f t="shared" si="47"/>
        <v>0</v>
      </c>
      <c r="BQ55" s="51"/>
      <c r="BR55" s="51"/>
      <c r="BS55" s="52">
        <f t="shared" si="48"/>
        <v>0</v>
      </c>
      <c r="BT55" s="51"/>
      <c r="BU55" s="51"/>
      <c r="BV55" s="52">
        <f t="shared" si="49"/>
        <v>0</v>
      </c>
      <c r="BW55" s="36">
        <f t="shared" si="23"/>
        <v>0</v>
      </c>
      <c r="BX55" s="36">
        <f t="shared" si="23"/>
        <v>21212</v>
      </c>
      <c r="BY55" s="36">
        <f t="shared" si="24"/>
        <v>21212</v>
      </c>
      <c r="BZ55" s="36">
        <f t="shared" si="25"/>
        <v>0</v>
      </c>
      <c r="CA55" s="36">
        <f t="shared" si="25"/>
        <v>7647</v>
      </c>
      <c r="CB55" s="36">
        <f t="shared" si="26"/>
        <v>7647</v>
      </c>
    </row>
    <row r="56" spans="1:80" outlineLevel="1" x14ac:dyDescent="0.2">
      <c r="A56" s="33">
        <v>136</v>
      </c>
      <c r="B56" s="49" t="s">
        <v>75</v>
      </c>
      <c r="C56" s="51"/>
      <c r="D56" s="51"/>
      <c r="E56" s="52">
        <f t="shared" si="22"/>
        <v>0</v>
      </c>
      <c r="F56" s="51"/>
      <c r="G56" s="51"/>
      <c r="H56" s="52">
        <f t="shared" si="28"/>
        <v>0</v>
      </c>
      <c r="I56" s="51"/>
      <c r="J56" s="51"/>
      <c r="K56" s="52">
        <f t="shared" si="29"/>
        <v>0</v>
      </c>
      <c r="L56" s="51"/>
      <c r="M56" s="51"/>
      <c r="N56" s="52">
        <f t="shared" si="50"/>
        <v>0</v>
      </c>
      <c r="O56" s="51">
        <v>3922</v>
      </c>
      <c r="P56" s="51"/>
      <c r="Q56" s="52">
        <f t="shared" si="30"/>
        <v>3922</v>
      </c>
      <c r="R56" s="62">
        <v>3922</v>
      </c>
      <c r="S56" s="51"/>
      <c r="T56" s="52">
        <f t="shared" si="31"/>
        <v>3922</v>
      </c>
      <c r="U56" s="51"/>
      <c r="V56" s="51"/>
      <c r="W56" s="52">
        <f t="shared" si="32"/>
        <v>0</v>
      </c>
      <c r="X56" s="51"/>
      <c r="Y56" s="51"/>
      <c r="Z56" s="52">
        <f t="shared" si="33"/>
        <v>0</v>
      </c>
      <c r="AA56" s="51"/>
      <c r="AB56" s="51"/>
      <c r="AC56" s="52">
        <f t="shared" si="34"/>
        <v>0</v>
      </c>
      <c r="AD56" s="51"/>
      <c r="AE56" s="51"/>
      <c r="AF56" s="52">
        <f t="shared" si="35"/>
        <v>0</v>
      </c>
      <c r="AG56" s="51"/>
      <c r="AH56" s="51"/>
      <c r="AI56" s="52">
        <f t="shared" si="36"/>
        <v>0</v>
      </c>
      <c r="AJ56" s="51"/>
      <c r="AK56" s="51"/>
      <c r="AL56" s="52">
        <f t="shared" si="37"/>
        <v>0</v>
      </c>
      <c r="AM56" s="51">
        <v>143956</v>
      </c>
      <c r="AN56" s="51"/>
      <c r="AO56" s="52">
        <f t="shared" si="38"/>
        <v>143956</v>
      </c>
      <c r="AP56" s="62">
        <v>143956</v>
      </c>
      <c r="AQ56" s="51"/>
      <c r="AR56" s="52">
        <f t="shared" si="39"/>
        <v>143956</v>
      </c>
      <c r="AS56" s="51">
        <v>40900</v>
      </c>
      <c r="AT56" s="51"/>
      <c r="AU56" s="52">
        <f t="shared" si="40"/>
        <v>40900</v>
      </c>
      <c r="AV56" s="51">
        <v>40900</v>
      </c>
      <c r="AW56" s="51"/>
      <c r="AX56" s="52">
        <f t="shared" si="41"/>
        <v>40900</v>
      </c>
      <c r="AY56" s="51">
        <v>5637</v>
      </c>
      <c r="AZ56" s="51"/>
      <c r="BA56" s="52">
        <f t="shared" si="42"/>
        <v>5637</v>
      </c>
      <c r="BB56" s="62">
        <v>5637</v>
      </c>
      <c r="BC56" s="51"/>
      <c r="BD56" s="52">
        <f t="shared" si="43"/>
        <v>5637</v>
      </c>
      <c r="BE56" s="51">
        <v>12615</v>
      </c>
      <c r="BF56" s="51"/>
      <c r="BG56" s="52">
        <f t="shared" si="44"/>
        <v>12615</v>
      </c>
      <c r="BH56" s="51"/>
      <c r="BI56" s="51"/>
      <c r="BJ56" s="52">
        <f t="shared" si="45"/>
        <v>0</v>
      </c>
      <c r="BK56" s="51"/>
      <c r="BL56" s="51"/>
      <c r="BM56" s="52">
        <f t="shared" si="46"/>
        <v>0</v>
      </c>
      <c r="BN56" s="51"/>
      <c r="BO56" s="51"/>
      <c r="BP56" s="52">
        <f t="shared" si="47"/>
        <v>0</v>
      </c>
      <c r="BQ56" s="51"/>
      <c r="BR56" s="51"/>
      <c r="BS56" s="52">
        <f t="shared" si="48"/>
        <v>0</v>
      </c>
      <c r="BT56" s="51"/>
      <c r="BU56" s="51"/>
      <c r="BV56" s="52">
        <f t="shared" si="49"/>
        <v>0</v>
      </c>
      <c r="BW56" s="36">
        <f t="shared" si="23"/>
        <v>207030</v>
      </c>
      <c r="BX56" s="36">
        <f t="shared" si="23"/>
        <v>0</v>
      </c>
      <c r="BY56" s="36">
        <f t="shared" si="24"/>
        <v>207030</v>
      </c>
      <c r="BZ56" s="36">
        <f t="shared" si="25"/>
        <v>194415</v>
      </c>
      <c r="CA56" s="36">
        <f t="shared" si="25"/>
        <v>0</v>
      </c>
      <c r="CB56" s="36">
        <f t="shared" si="26"/>
        <v>194415</v>
      </c>
    </row>
    <row r="57" spans="1:80" outlineLevel="1" x14ac:dyDescent="0.2">
      <c r="A57" s="33">
        <v>136</v>
      </c>
      <c r="B57" s="49" t="s">
        <v>76</v>
      </c>
      <c r="C57" s="51"/>
      <c r="D57" s="51"/>
      <c r="E57" s="52">
        <f t="shared" si="22"/>
        <v>0</v>
      </c>
      <c r="F57" s="51"/>
      <c r="G57" s="51">
        <f>8000+1211+5452+2734</f>
        <v>17397</v>
      </c>
      <c r="H57" s="52">
        <f t="shared" si="28"/>
        <v>17397</v>
      </c>
      <c r="I57" s="51"/>
      <c r="J57" s="62"/>
      <c r="K57" s="52">
        <f t="shared" si="29"/>
        <v>0</v>
      </c>
      <c r="L57" s="51"/>
      <c r="M57" s="62">
        <v>1440</v>
      </c>
      <c r="N57" s="52">
        <f t="shared" si="50"/>
        <v>1440</v>
      </c>
      <c r="O57" s="51"/>
      <c r="P57" s="51">
        <v>120</v>
      </c>
      <c r="Q57" s="52">
        <f t="shared" si="30"/>
        <v>120</v>
      </c>
      <c r="R57" s="51"/>
      <c r="S57" s="51">
        <v>120</v>
      </c>
      <c r="T57" s="52">
        <f t="shared" si="31"/>
        <v>120</v>
      </c>
      <c r="U57" s="51"/>
      <c r="V57" s="51">
        <f>272</f>
        <v>272</v>
      </c>
      <c r="W57" s="52">
        <f t="shared" si="32"/>
        <v>272</v>
      </c>
      <c r="X57" s="51"/>
      <c r="Y57" s="51">
        <f>272</f>
        <v>272</v>
      </c>
      <c r="Z57" s="52">
        <f t="shared" si="33"/>
        <v>272</v>
      </c>
      <c r="AA57" s="51"/>
      <c r="AB57" s="51"/>
      <c r="AC57" s="52">
        <f t="shared" si="34"/>
        <v>0</v>
      </c>
      <c r="AD57" s="51"/>
      <c r="AE57" s="51"/>
      <c r="AF57" s="52">
        <f t="shared" si="35"/>
        <v>0</v>
      </c>
      <c r="AG57" s="51">
        <v>5901</v>
      </c>
      <c r="AH57" s="51">
        <f>8900+3200</f>
        <v>12100</v>
      </c>
      <c r="AI57" s="52">
        <f t="shared" si="36"/>
        <v>18001</v>
      </c>
      <c r="AJ57" s="51"/>
      <c r="AK57" s="51">
        <f>8900+3200</f>
        <v>12100</v>
      </c>
      <c r="AL57" s="52">
        <f t="shared" si="37"/>
        <v>12100</v>
      </c>
      <c r="AM57" s="51"/>
      <c r="AN57" s="51">
        <f>2550+2500+7188+202</f>
        <v>12440</v>
      </c>
      <c r="AO57" s="52">
        <f t="shared" si="38"/>
        <v>12440</v>
      </c>
      <c r="AP57" s="51"/>
      <c r="AQ57" s="62">
        <f>2550+7188+202</f>
        <v>9940</v>
      </c>
      <c r="AR57" s="52">
        <f t="shared" si="39"/>
        <v>9940</v>
      </c>
      <c r="AS57" s="51"/>
      <c r="AT57" s="51">
        <v>4245</v>
      </c>
      <c r="AU57" s="52">
        <f t="shared" si="40"/>
        <v>4245</v>
      </c>
      <c r="AV57" s="51"/>
      <c r="AW57" s="62">
        <v>4245</v>
      </c>
      <c r="AX57" s="52">
        <f t="shared" si="41"/>
        <v>4245</v>
      </c>
      <c r="AY57" s="51"/>
      <c r="AZ57" s="51">
        <f>850</f>
        <v>850</v>
      </c>
      <c r="BA57" s="52">
        <f t="shared" si="42"/>
        <v>850</v>
      </c>
      <c r="BB57" s="51"/>
      <c r="BC57" s="51">
        <v>850</v>
      </c>
      <c r="BD57" s="52">
        <f t="shared" si="43"/>
        <v>850</v>
      </c>
      <c r="BE57" s="51"/>
      <c r="BF57" s="51"/>
      <c r="BG57" s="52">
        <f t="shared" si="44"/>
        <v>0</v>
      </c>
      <c r="BH57" s="51"/>
      <c r="BI57" s="51"/>
      <c r="BJ57" s="52">
        <f t="shared" si="45"/>
        <v>0</v>
      </c>
      <c r="BK57" s="51"/>
      <c r="BL57" s="51"/>
      <c r="BM57" s="52">
        <f t="shared" si="46"/>
        <v>0</v>
      </c>
      <c r="BN57" s="51"/>
      <c r="BO57" s="51"/>
      <c r="BP57" s="52">
        <f t="shared" si="47"/>
        <v>0</v>
      </c>
      <c r="BQ57" s="51"/>
      <c r="BR57" s="51"/>
      <c r="BS57" s="52">
        <f t="shared" si="48"/>
        <v>0</v>
      </c>
      <c r="BT57" s="51"/>
      <c r="BU57" s="51"/>
      <c r="BV57" s="52">
        <f t="shared" si="49"/>
        <v>0</v>
      </c>
      <c r="BW57" s="36">
        <f t="shared" si="23"/>
        <v>5901</v>
      </c>
      <c r="BX57" s="36">
        <f t="shared" si="23"/>
        <v>30027</v>
      </c>
      <c r="BY57" s="36">
        <f t="shared" si="24"/>
        <v>35928</v>
      </c>
      <c r="BZ57" s="36">
        <f t="shared" si="25"/>
        <v>0</v>
      </c>
      <c r="CA57" s="36">
        <f t="shared" si="25"/>
        <v>46364</v>
      </c>
      <c r="CB57" s="36">
        <f t="shared" si="26"/>
        <v>46364</v>
      </c>
    </row>
    <row r="58" spans="1:80" s="5" customFormat="1" outlineLevel="1" x14ac:dyDescent="0.2">
      <c r="A58" s="33">
        <v>221</v>
      </c>
      <c r="B58" s="49" t="s">
        <v>77</v>
      </c>
      <c r="C58" s="65">
        <f>C59+C60</f>
        <v>0</v>
      </c>
      <c r="D58" s="65">
        <f>D59+D60</f>
        <v>0</v>
      </c>
      <c r="E58" s="52">
        <f t="shared" si="22"/>
        <v>0</v>
      </c>
      <c r="F58" s="65">
        <f>F59+F60</f>
        <v>0</v>
      </c>
      <c r="G58" s="65">
        <f>G59+G60</f>
        <v>0</v>
      </c>
      <c r="H58" s="52">
        <f t="shared" si="28"/>
        <v>0</v>
      </c>
      <c r="I58" s="65"/>
      <c r="J58" s="65"/>
      <c r="K58" s="52">
        <f t="shared" si="29"/>
        <v>0</v>
      </c>
      <c r="L58" s="65">
        <f>L59+L60</f>
        <v>0</v>
      </c>
      <c r="M58" s="65">
        <f>M59+M60</f>
        <v>0</v>
      </c>
      <c r="N58" s="52">
        <f t="shared" si="50"/>
        <v>0</v>
      </c>
      <c r="O58" s="65">
        <f>O59+O60</f>
        <v>0</v>
      </c>
      <c r="P58" s="65">
        <f>P59+P60</f>
        <v>0</v>
      </c>
      <c r="Q58" s="52">
        <f t="shared" si="30"/>
        <v>0</v>
      </c>
      <c r="R58" s="65">
        <f>R59+R60</f>
        <v>0</v>
      </c>
      <c r="S58" s="65">
        <f>S59+S60</f>
        <v>0</v>
      </c>
      <c r="T58" s="52">
        <f t="shared" si="31"/>
        <v>0</v>
      </c>
      <c r="U58" s="65">
        <f>U59+U60</f>
        <v>0</v>
      </c>
      <c r="V58" s="65">
        <f>V59+V60</f>
        <v>0</v>
      </c>
      <c r="W58" s="52">
        <f t="shared" si="32"/>
        <v>0</v>
      </c>
      <c r="X58" s="65">
        <f>X59+X60</f>
        <v>0</v>
      </c>
      <c r="Y58" s="65">
        <f>Y59+Y60</f>
        <v>0</v>
      </c>
      <c r="Z58" s="52">
        <f t="shared" si="33"/>
        <v>0</v>
      </c>
      <c r="AA58" s="65">
        <f>AA59+AA60</f>
        <v>0</v>
      </c>
      <c r="AB58" s="65">
        <f>AB59+AB60</f>
        <v>0</v>
      </c>
      <c r="AC58" s="52">
        <f t="shared" si="34"/>
        <v>0</v>
      </c>
      <c r="AD58" s="65">
        <f>AD59+AD60</f>
        <v>0</v>
      </c>
      <c r="AE58" s="65">
        <f>AE59+AE60</f>
        <v>0</v>
      </c>
      <c r="AF58" s="52">
        <f t="shared" si="35"/>
        <v>0</v>
      </c>
      <c r="AG58" s="65">
        <f>AG59+AG60</f>
        <v>0</v>
      </c>
      <c r="AH58" s="65">
        <f>AH59+AH60</f>
        <v>0</v>
      </c>
      <c r="AI58" s="52">
        <f t="shared" si="36"/>
        <v>0</v>
      </c>
      <c r="AJ58" s="65">
        <f>AJ59+AJ60</f>
        <v>0</v>
      </c>
      <c r="AK58" s="65">
        <f>AK59+AK60</f>
        <v>0</v>
      </c>
      <c r="AL58" s="52">
        <f t="shared" si="37"/>
        <v>0</v>
      </c>
      <c r="AM58" s="65">
        <f>AM59+AM60</f>
        <v>0</v>
      </c>
      <c r="AN58" s="65">
        <f>AN59+AN60</f>
        <v>0</v>
      </c>
      <c r="AO58" s="52">
        <f t="shared" si="38"/>
        <v>0</v>
      </c>
      <c r="AP58" s="65">
        <f>AP59+AP60</f>
        <v>0</v>
      </c>
      <c r="AQ58" s="65">
        <f>AQ59+AQ60</f>
        <v>0</v>
      </c>
      <c r="AR58" s="52">
        <f t="shared" si="39"/>
        <v>0</v>
      </c>
      <c r="AS58" s="65">
        <f>AS59+AS60</f>
        <v>0</v>
      </c>
      <c r="AT58" s="65">
        <f>AT59+AT60</f>
        <v>0</v>
      </c>
      <c r="AU58" s="52">
        <f t="shared" si="40"/>
        <v>0</v>
      </c>
      <c r="AV58" s="65">
        <f>AV59+AV60</f>
        <v>0</v>
      </c>
      <c r="AW58" s="65">
        <f>AW59+AW60</f>
        <v>0</v>
      </c>
      <c r="AX58" s="52">
        <f t="shared" si="41"/>
        <v>0</v>
      </c>
      <c r="AY58" s="65">
        <f>AY59+AY60</f>
        <v>0</v>
      </c>
      <c r="AZ58" s="65">
        <f>AZ59+AZ60</f>
        <v>0</v>
      </c>
      <c r="BA58" s="52">
        <f t="shared" si="42"/>
        <v>0</v>
      </c>
      <c r="BB58" s="65">
        <f>BB59+BB60</f>
        <v>0</v>
      </c>
      <c r="BC58" s="65">
        <f>BC59+BC60</f>
        <v>0</v>
      </c>
      <c r="BD58" s="52">
        <f t="shared" si="43"/>
        <v>0</v>
      </c>
      <c r="BE58" s="65">
        <f>BE59+BE60</f>
        <v>0</v>
      </c>
      <c r="BF58" s="65">
        <f>BF59+BF60</f>
        <v>0</v>
      </c>
      <c r="BG58" s="52">
        <f t="shared" si="44"/>
        <v>0</v>
      </c>
      <c r="BH58" s="65">
        <f>BH59+BH60</f>
        <v>0</v>
      </c>
      <c r="BI58" s="65">
        <f>BI59+BI60</f>
        <v>0</v>
      </c>
      <c r="BJ58" s="52">
        <f t="shared" si="45"/>
        <v>0</v>
      </c>
      <c r="BK58" s="65">
        <f>BK59+BK60</f>
        <v>0</v>
      </c>
      <c r="BL58" s="65">
        <f>BL59+BL60</f>
        <v>0</v>
      </c>
      <c r="BM58" s="52">
        <f t="shared" si="46"/>
        <v>0</v>
      </c>
      <c r="BN58" s="65">
        <f>BN59+BN60</f>
        <v>0</v>
      </c>
      <c r="BO58" s="65">
        <f>BO59+BO60</f>
        <v>0</v>
      </c>
      <c r="BP58" s="52">
        <f t="shared" si="47"/>
        <v>0</v>
      </c>
      <c r="BQ58" s="65">
        <f>BQ59+BQ60</f>
        <v>0</v>
      </c>
      <c r="BR58" s="65">
        <f>BR59+BR60</f>
        <v>0</v>
      </c>
      <c r="BS58" s="52">
        <f t="shared" si="48"/>
        <v>0</v>
      </c>
      <c r="BT58" s="65">
        <f>BT59+BT60</f>
        <v>0</v>
      </c>
      <c r="BU58" s="65">
        <f>BU59+BU60</f>
        <v>0</v>
      </c>
      <c r="BV58" s="52">
        <f t="shared" si="49"/>
        <v>0</v>
      </c>
      <c r="BW58" s="36">
        <f>C58+I58+O58+U58+AA58+AG58+AM58+AS58+AY58+BE58+BK58+BQ58</f>
        <v>0</v>
      </c>
      <c r="BX58" s="36">
        <f>D58+J58+P58+V58+AB58+AH58+AN58+AT58+AZ58+BF58+BL58+BR58</f>
        <v>0</v>
      </c>
      <c r="BY58" s="36">
        <f t="shared" si="24"/>
        <v>0</v>
      </c>
      <c r="BZ58" s="36">
        <f>F58+L58+R58+X58+AD58+AJ58+AP58+AV58+BB58+BH58+BN58+BT58</f>
        <v>0</v>
      </c>
      <c r="CA58" s="36">
        <f>G58+M58+S58+Y58+AE58+AK58+AQ58+AW58+BC58+BI58+BO58+BU58</f>
        <v>0</v>
      </c>
      <c r="CB58" s="36">
        <f t="shared" si="26"/>
        <v>0</v>
      </c>
    </row>
    <row r="59" spans="1:80" s="44" customFormat="1" ht="12" outlineLevel="2" x14ac:dyDescent="0.2">
      <c r="A59" s="73" t="s">
        <v>78</v>
      </c>
      <c r="B59" s="66" t="s">
        <v>79</v>
      </c>
      <c r="C59" s="67"/>
      <c r="D59" s="67"/>
      <c r="E59" s="60">
        <f t="shared" si="22"/>
        <v>0</v>
      </c>
      <c r="F59" s="67"/>
      <c r="G59" s="67"/>
      <c r="H59" s="60">
        <f t="shared" si="28"/>
        <v>0</v>
      </c>
      <c r="I59" s="67"/>
      <c r="J59" s="67"/>
      <c r="K59" s="60">
        <f t="shared" si="29"/>
        <v>0</v>
      </c>
      <c r="L59" s="67"/>
      <c r="M59" s="67"/>
      <c r="N59" s="60">
        <f t="shared" si="50"/>
        <v>0</v>
      </c>
      <c r="O59" s="67"/>
      <c r="P59" s="67"/>
      <c r="Q59" s="60">
        <f t="shared" si="30"/>
        <v>0</v>
      </c>
      <c r="R59" s="67"/>
      <c r="S59" s="67"/>
      <c r="T59" s="60">
        <f t="shared" si="31"/>
        <v>0</v>
      </c>
      <c r="U59" s="67"/>
      <c r="V59" s="67"/>
      <c r="W59" s="60">
        <f t="shared" si="32"/>
        <v>0</v>
      </c>
      <c r="X59" s="67"/>
      <c r="Y59" s="67"/>
      <c r="Z59" s="60">
        <f t="shared" si="33"/>
        <v>0</v>
      </c>
      <c r="AA59" s="67"/>
      <c r="AB59" s="67"/>
      <c r="AC59" s="60">
        <f t="shared" si="34"/>
        <v>0</v>
      </c>
      <c r="AD59" s="67"/>
      <c r="AE59" s="67"/>
      <c r="AF59" s="60">
        <f t="shared" si="35"/>
        <v>0</v>
      </c>
      <c r="AG59" s="67"/>
      <c r="AH59" s="67"/>
      <c r="AI59" s="60">
        <f t="shared" si="36"/>
        <v>0</v>
      </c>
      <c r="AJ59" s="67"/>
      <c r="AK59" s="67"/>
      <c r="AL59" s="60">
        <f t="shared" si="37"/>
        <v>0</v>
      </c>
      <c r="AM59" s="67"/>
      <c r="AN59" s="67"/>
      <c r="AO59" s="60">
        <f t="shared" si="38"/>
        <v>0</v>
      </c>
      <c r="AP59" s="67"/>
      <c r="AQ59" s="67"/>
      <c r="AR59" s="60">
        <f t="shared" si="39"/>
        <v>0</v>
      </c>
      <c r="AS59" s="67"/>
      <c r="AT59" s="67"/>
      <c r="AU59" s="60">
        <f t="shared" si="40"/>
        <v>0</v>
      </c>
      <c r="AV59" s="67"/>
      <c r="AW59" s="67"/>
      <c r="AX59" s="60">
        <f t="shared" si="41"/>
        <v>0</v>
      </c>
      <c r="AY59" s="67"/>
      <c r="AZ59" s="67"/>
      <c r="BA59" s="60">
        <f t="shared" si="42"/>
        <v>0</v>
      </c>
      <c r="BB59" s="67"/>
      <c r="BC59" s="67"/>
      <c r="BD59" s="60">
        <f t="shared" si="43"/>
        <v>0</v>
      </c>
      <c r="BE59" s="67"/>
      <c r="BF59" s="67"/>
      <c r="BG59" s="60">
        <f t="shared" si="44"/>
        <v>0</v>
      </c>
      <c r="BH59" s="67"/>
      <c r="BI59" s="67"/>
      <c r="BJ59" s="60">
        <f t="shared" si="45"/>
        <v>0</v>
      </c>
      <c r="BK59" s="67"/>
      <c r="BL59" s="67"/>
      <c r="BM59" s="60">
        <f t="shared" si="46"/>
        <v>0</v>
      </c>
      <c r="BN59" s="67"/>
      <c r="BO59" s="67"/>
      <c r="BP59" s="60">
        <f t="shared" si="47"/>
        <v>0</v>
      </c>
      <c r="BQ59" s="67"/>
      <c r="BR59" s="67"/>
      <c r="BS59" s="60">
        <f t="shared" si="48"/>
        <v>0</v>
      </c>
      <c r="BT59" s="67"/>
      <c r="BU59" s="67"/>
      <c r="BV59" s="60">
        <f t="shared" si="49"/>
        <v>0</v>
      </c>
      <c r="BW59" s="43">
        <f t="shared" si="23"/>
        <v>0</v>
      </c>
      <c r="BX59" s="43">
        <f t="shared" si="23"/>
        <v>0</v>
      </c>
      <c r="BY59" s="43">
        <f t="shared" si="24"/>
        <v>0</v>
      </c>
      <c r="BZ59" s="43">
        <f t="shared" si="25"/>
        <v>0</v>
      </c>
      <c r="CA59" s="43">
        <f t="shared" si="25"/>
        <v>0</v>
      </c>
      <c r="CB59" s="43">
        <f t="shared" si="26"/>
        <v>0</v>
      </c>
    </row>
    <row r="60" spans="1:80" s="44" customFormat="1" ht="12" outlineLevel="2" x14ac:dyDescent="0.2">
      <c r="A60" s="73" t="s">
        <v>80</v>
      </c>
      <c r="B60" s="66" t="s">
        <v>81</v>
      </c>
      <c r="C60" s="67"/>
      <c r="D60" s="67"/>
      <c r="E60" s="60">
        <f t="shared" si="22"/>
        <v>0</v>
      </c>
      <c r="F60" s="67"/>
      <c r="G60" s="67"/>
      <c r="H60" s="60">
        <f t="shared" si="28"/>
        <v>0</v>
      </c>
      <c r="I60" s="67"/>
      <c r="J60" s="67"/>
      <c r="K60" s="60">
        <f t="shared" si="29"/>
        <v>0</v>
      </c>
      <c r="L60" s="67"/>
      <c r="M60" s="67"/>
      <c r="N60" s="60">
        <f t="shared" si="50"/>
        <v>0</v>
      </c>
      <c r="O60" s="67"/>
      <c r="P60" s="67"/>
      <c r="Q60" s="60">
        <f t="shared" si="30"/>
        <v>0</v>
      </c>
      <c r="R60" s="67"/>
      <c r="S60" s="67"/>
      <c r="T60" s="60">
        <f t="shared" si="31"/>
        <v>0</v>
      </c>
      <c r="U60" s="67"/>
      <c r="V60" s="67"/>
      <c r="W60" s="60">
        <f t="shared" si="32"/>
        <v>0</v>
      </c>
      <c r="X60" s="67"/>
      <c r="Y60" s="67"/>
      <c r="Z60" s="60">
        <f t="shared" si="33"/>
        <v>0</v>
      </c>
      <c r="AA60" s="67"/>
      <c r="AB60" s="67"/>
      <c r="AC60" s="60">
        <f t="shared" si="34"/>
        <v>0</v>
      </c>
      <c r="AD60" s="67"/>
      <c r="AE60" s="67"/>
      <c r="AF60" s="60">
        <f t="shared" si="35"/>
        <v>0</v>
      </c>
      <c r="AG60" s="67"/>
      <c r="AH60" s="67"/>
      <c r="AI60" s="60">
        <f t="shared" si="36"/>
        <v>0</v>
      </c>
      <c r="AJ60" s="67"/>
      <c r="AK60" s="67"/>
      <c r="AL60" s="60">
        <f t="shared" si="37"/>
        <v>0</v>
      </c>
      <c r="AM60" s="67"/>
      <c r="AN60" s="67"/>
      <c r="AO60" s="60">
        <f t="shared" si="38"/>
        <v>0</v>
      </c>
      <c r="AP60" s="67"/>
      <c r="AQ60" s="67"/>
      <c r="AR60" s="60">
        <f t="shared" si="39"/>
        <v>0</v>
      </c>
      <c r="AS60" s="67"/>
      <c r="AT60" s="67"/>
      <c r="AU60" s="60">
        <f t="shared" si="40"/>
        <v>0</v>
      </c>
      <c r="AV60" s="67"/>
      <c r="AW60" s="67"/>
      <c r="AX60" s="60">
        <f t="shared" si="41"/>
        <v>0</v>
      </c>
      <c r="AY60" s="67"/>
      <c r="AZ60" s="67"/>
      <c r="BA60" s="60">
        <f t="shared" si="42"/>
        <v>0</v>
      </c>
      <c r="BB60" s="67"/>
      <c r="BC60" s="67"/>
      <c r="BD60" s="60">
        <f t="shared" si="43"/>
        <v>0</v>
      </c>
      <c r="BE60" s="67"/>
      <c r="BF60" s="67"/>
      <c r="BG60" s="60">
        <f t="shared" si="44"/>
        <v>0</v>
      </c>
      <c r="BH60" s="67"/>
      <c r="BI60" s="67"/>
      <c r="BJ60" s="60">
        <f t="shared" si="45"/>
        <v>0</v>
      </c>
      <c r="BK60" s="67"/>
      <c r="BL60" s="67"/>
      <c r="BM60" s="60">
        <f t="shared" si="46"/>
        <v>0</v>
      </c>
      <c r="BN60" s="67"/>
      <c r="BO60" s="67"/>
      <c r="BP60" s="60">
        <f t="shared" si="47"/>
        <v>0</v>
      </c>
      <c r="BQ60" s="67"/>
      <c r="BR60" s="67"/>
      <c r="BS60" s="60">
        <f t="shared" si="48"/>
        <v>0</v>
      </c>
      <c r="BT60" s="67"/>
      <c r="BU60" s="67"/>
      <c r="BV60" s="60">
        <f t="shared" si="49"/>
        <v>0</v>
      </c>
      <c r="BW60" s="43">
        <f t="shared" si="23"/>
        <v>0</v>
      </c>
      <c r="BX60" s="43">
        <f t="shared" si="23"/>
        <v>0</v>
      </c>
      <c r="BY60" s="43">
        <f t="shared" si="24"/>
        <v>0</v>
      </c>
      <c r="BZ60" s="43">
        <f t="shared" si="25"/>
        <v>0</v>
      </c>
      <c r="CA60" s="43">
        <f t="shared" si="25"/>
        <v>0</v>
      </c>
      <c r="CB60" s="43">
        <f t="shared" si="26"/>
        <v>0</v>
      </c>
    </row>
    <row r="61" spans="1:80" outlineLevel="1" x14ac:dyDescent="0.2">
      <c r="A61" s="33">
        <v>222</v>
      </c>
      <c r="B61" s="49" t="s">
        <v>39</v>
      </c>
      <c r="C61" s="51"/>
      <c r="D61" s="51"/>
      <c r="E61" s="52">
        <f t="shared" si="22"/>
        <v>0</v>
      </c>
      <c r="F61" s="51"/>
      <c r="G61" s="51"/>
      <c r="H61" s="52">
        <f t="shared" si="28"/>
        <v>0</v>
      </c>
      <c r="I61" s="51"/>
      <c r="J61" s="51"/>
      <c r="K61" s="52">
        <f t="shared" si="29"/>
        <v>0</v>
      </c>
      <c r="L61" s="51"/>
      <c r="M61" s="51"/>
      <c r="N61" s="52">
        <f t="shared" si="50"/>
        <v>0</v>
      </c>
      <c r="O61" s="51"/>
      <c r="P61" s="51"/>
      <c r="Q61" s="52">
        <f t="shared" si="30"/>
        <v>0</v>
      </c>
      <c r="R61" s="51"/>
      <c r="S61" s="51"/>
      <c r="T61" s="52">
        <f t="shared" si="31"/>
        <v>0</v>
      </c>
      <c r="U61" s="51">
        <v>550000</v>
      </c>
      <c r="V61" s="51"/>
      <c r="W61" s="52">
        <f t="shared" si="32"/>
        <v>550000</v>
      </c>
      <c r="X61" s="62">
        <v>550000</v>
      </c>
      <c r="Y61" s="51"/>
      <c r="Z61" s="52">
        <f t="shared" si="33"/>
        <v>550000</v>
      </c>
      <c r="AA61" s="51">
        <v>300000</v>
      </c>
      <c r="AB61" s="51"/>
      <c r="AC61" s="52">
        <f t="shared" si="34"/>
        <v>300000</v>
      </c>
      <c r="AD61" s="62">
        <v>300000</v>
      </c>
      <c r="AE61" s="51"/>
      <c r="AF61" s="52">
        <f t="shared" si="35"/>
        <v>300000</v>
      </c>
      <c r="AG61" s="51"/>
      <c r="AH61" s="51"/>
      <c r="AI61" s="52">
        <f t="shared" si="36"/>
        <v>0</v>
      </c>
      <c r="AJ61" s="51"/>
      <c r="AK61" s="51"/>
      <c r="AL61" s="52">
        <f t="shared" si="37"/>
        <v>0</v>
      </c>
      <c r="AM61" s="51"/>
      <c r="AN61" s="51"/>
      <c r="AO61" s="52">
        <f t="shared" si="38"/>
        <v>0</v>
      </c>
      <c r="AP61" s="51"/>
      <c r="AQ61" s="51"/>
      <c r="AR61" s="52">
        <f t="shared" si="39"/>
        <v>0</v>
      </c>
      <c r="AS61" s="51">
        <v>100000</v>
      </c>
      <c r="AT61" s="51"/>
      <c r="AU61" s="52">
        <f t="shared" si="40"/>
        <v>100000</v>
      </c>
      <c r="AV61" s="51">
        <v>100000</v>
      </c>
      <c r="AW61" s="51"/>
      <c r="AX61" s="52">
        <f t="shared" si="41"/>
        <v>100000</v>
      </c>
      <c r="AY61" s="51"/>
      <c r="AZ61" s="51"/>
      <c r="BA61" s="52">
        <f t="shared" si="42"/>
        <v>0</v>
      </c>
      <c r="BB61" s="51"/>
      <c r="BC61" s="51"/>
      <c r="BD61" s="52">
        <f t="shared" si="43"/>
        <v>0</v>
      </c>
      <c r="BE61" s="51">
        <v>6791.51</v>
      </c>
      <c r="BF61" s="51"/>
      <c r="BG61" s="52">
        <f t="shared" si="44"/>
        <v>6791.51</v>
      </c>
      <c r="BH61" s="51"/>
      <c r="BI61" s="51"/>
      <c r="BJ61" s="52">
        <f t="shared" si="45"/>
        <v>0</v>
      </c>
      <c r="BK61" s="51"/>
      <c r="BL61" s="51"/>
      <c r="BM61" s="52">
        <f t="shared" si="46"/>
        <v>0</v>
      </c>
      <c r="BN61" s="51"/>
      <c r="BO61" s="51"/>
      <c r="BP61" s="52">
        <f t="shared" si="47"/>
        <v>0</v>
      </c>
      <c r="BQ61" s="51"/>
      <c r="BR61" s="51"/>
      <c r="BS61" s="52">
        <f t="shared" si="48"/>
        <v>0</v>
      </c>
      <c r="BT61" s="51"/>
      <c r="BU61" s="51"/>
      <c r="BV61" s="52">
        <f t="shared" si="49"/>
        <v>0</v>
      </c>
      <c r="BW61" s="36">
        <f t="shared" si="23"/>
        <v>956791.51</v>
      </c>
      <c r="BX61" s="36">
        <f t="shared" si="23"/>
        <v>0</v>
      </c>
      <c r="BY61" s="36">
        <f t="shared" si="24"/>
        <v>956791.51</v>
      </c>
      <c r="BZ61" s="36">
        <f t="shared" si="25"/>
        <v>950000</v>
      </c>
      <c r="CA61" s="36">
        <f t="shared" si="25"/>
        <v>0</v>
      </c>
      <c r="CB61" s="36">
        <f t="shared" si="26"/>
        <v>950000</v>
      </c>
    </row>
    <row r="62" spans="1:80" s="44" customFormat="1" ht="24" outlineLevel="1" x14ac:dyDescent="0.2">
      <c r="A62" s="38"/>
      <c r="B62" s="39" t="s">
        <v>82</v>
      </c>
      <c r="C62" s="63"/>
      <c r="D62" s="63"/>
      <c r="E62" s="60">
        <f t="shared" si="22"/>
        <v>0</v>
      </c>
      <c r="F62" s="63"/>
      <c r="G62" s="63"/>
      <c r="H62" s="60">
        <f t="shared" si="28"/>
        <v>0</v>
      </c>
      <c r="I62" s="63"/>
      <c r="J62" s="63"/>
      <c r="K62" s="60">
        <f t="shared" si="29"/>
        <v>0</v>
      </c>
      <c r="L62" s="63"/>
      <c r="M62" s="63"/>
      <c r="N62" s="60">
        <f t="shared" si="50"/>
        <v>0</v>
      </c>
      <c r="O62" s="63"/>
      <c r="P62" s="63"/>
      <c r="Q62" s="60">
        <f t="shared" si="30"/>
        <v>0</v>
      </c>
      <c r="R62" s="63"/>
      <c r="S62" s="63"/>
      <c r="T62" s="60">
        <f t="shared" si="31"/>
        <v>0</v>
      </c>
      <c r="U62" s="63"/>
      <c r="V62" s="63"/>
      <c r="W62" s="60">
        <f t="shared" si="32"/>
        <v>0</v>
      </c>
      <c r="X62" s="63"/>
      <c r="Y62" s="63"/>
      <c r="Z62" s="60">
        <f t="shared" si="33"/>
        <v>0</v>
      </c>
      <c r="AA62" s="63"/>
      <c r="AB62" s="63"/>
      <c r="AC62" s="60">
        <f t="shared" si="34"/>
        <v>0</v>
      </c>
      <c r="AD62" s="63"/>
      <c r="AE62" s="63"/>
      <c r="AF62" s="60">
        <f t="shared" si="35"/>
        <v>0</v>
      </c>
      <c r="AG62" s="63"/>
      <c r="AH62" s="63"/>
      <c r="AI62" s="60">
        <f t="shared" si="36"/>
        <v>0</v>
      </c>
      <c r="AJ62" s="63"/>
      <c r="AK62" s="63"/>
      <c r="AL62" s="60">
        <f t="shared" si="37"/>
        <v>0</v>
      </c>
      <c r="AM62" s="63"/>
      <c r="AN62" s="63"/>
      <c r="AO62" s="60">
        <f t="shared" si="38"/>
        <v>0</v>
      </c>
      <c r="AP62" s="63"/>
      <c r="AQ62" s="63"/>
      <c r="AR62" s="60">
        <f t="shared" si="39"/>
        <v>0</v>
      </c>
      <c r="AS62" s="63"/>
      <c r="AT62" s="63"/>
      <c r="AU62" s="60">
        <f t="shared" si="40"/>
        <v>0</v>
      </c>
      <c r="AV62" s="63"/>
      <c r="AW62" s="63"/>
      <c r="AX62" s="60">
        <f t="shared" si="41"/>
        <v>0</v>
      </c>
      <c r="AY62" s="63"/>
      <c r="AZ62" s="63"/>
      <c r="BA62" s="60">
        <f t="shared" si="42"/>
        <v>0</v>
      </c>
      <c r="BB62" s="63"/>
      <c r="BC62" s="63"/>
      <c r="BD62" s="60">
        <f t="shared" si="43"/>
        <v>0</v>
      </c>
      <c r="BE62" s="63"/>
      <c r="BF62" s="63"/>
      <c r="BG62" s="60">
        <f t="shared" si="44"/>
        <v>0</v>
      </c>
      <c r="BH62" s="63"/>
      <c r="BI62" s="63"/>
      <c r="BJ62" s="60">
        <f t="shared" si="45"/>
        <v>0</v>
      </c>
      <c r="BK62" s="63"/>
      <c r="BL62" s="63"/>
      <c r="BM62" s="60">
        <f t="shared" si="46"/>
        <v>0</v>
      </c>
      <c r="BN62" s="63"/>
      <c r="BO62" s="63"/>
      <c r="BP62" s="60">
        <f t="shared" si="47"/>
        <v>0</v>
      </c>
      <c r="BQ62" s="63"/>
      <c r="BR62" s="63"/>
      <c r="BS62" s="60">
        <f t="shared" si="48"/>
        <v>0</v>
      </c>
      <c r="BT62" s="63"/>
      <c r="BU62" s="63"/>
      <c r="BV62" s="60">
        <f t="shared" si="49"/>
        <v>0</v>
      </c>
      <c r="BW62" s="43">
        <f t="shared" si="23"/>
        <v>0</v>
      </c>
      <c r="BX62" s="43">
        <f t="shared" si="23"/>
        <v>0</v>
      </c>
      <c r="BY62" s="43">
        <f t="shared" si="24"/>
        <v>0</v>
      </c>
      <c r="BZ62" s="43">
        <f t="shared" si="25"/>
        <v>0</v>
      </c>
      <c r="CA62" s="43">
        <f t="shared" si="25"/>
        <v>0</v>
      </c>
      <c r="CB62" s="43">
        <f t="shared" si="26"/>
        <v>0</v>
      </c>
    </row>
    <row r="63" spans="1:80" outlineLevel="1" x14ac:dyDescent="0.2">
      <c r="A63" s="33">
        <v>223</v>
      </c>
      <c r="B63" s="49" t="s">
        <v>83</v>
      </c>
      <c r="C63" s="51"/>
      <c r="D63" s="51"/>
      <c r="E63" s="52">
        <f t="shared" si="22"/>
        <v>0</v>
      </c>
      <c r="F63" s="51"/>
      <c r="G63" s="51"/>
      <c r="H63" s="52">
        <f t="shared" si="28"/>
        <v>0</v>
      </c>
      <c r="I63" s="51"/>
      <c r="J63" s="51"/>
      <c r="K63" s="52">
        <f t="shared" si="29"/>
        <v>0</v>
      </c>
      <c r="L63" s="51"/>
      <c r="M63" s="51"/>
      <c r="N63" s="52">
        <f t="shared" si="50"/>
        <v>0</v>
      </c>
      <c r="O63" s="51"/>
      <c r="P63" s="51"/>
      <c r="Q63" s="52">
        <f t="shared" si="30"/>
        <v>0</v>
      </c>
      <c r="R63" s="51"/>
      <c r="S63" s="51"/>
      <c r="T63" s="52">
        <f t="shared" si="31"/>
        <v>0</v>
      </c>
      <c r="U63" s="51"/>
      <c r="V63" s="51"/>
      <c r="W63" s="52">
        <f t="shared" si="32"/>
        <v>0</v>
      </c>
      <c r="X63" s="62">
        <v>117000</v>
      </c>
      <c r="Y63" s="51"/>
      <c r="Z63" s="52">
        <f t="shared" si="33"/>
        <v>117000</v>
      </c>
      <c r="AA63" s="51"/>
      <c r="AB63" s="51"/>
      <c r="AC63" s="52">
        <f t="shared" si="34"/>
        <v>0</v>
      </c>
      <c r="AD63" s="51"/>
      <c r="AE63" s="51"/>
      <c r="AF63" s="52">
        <f t="shared" si="35"/>
        <v>0</v>
      </c>
      <c r="AG63" s="51"/>
      <c r="AH63" s="51"/>
      <c r="AI63" s="52">
        <f t="shared" si="36"/>
        <v>0</v>
      </c>
      <c r="AJ63" s="51"/>
      <c r="AK63" s="51"/>
      <c r="AL63" s="52">
        <f t="shared" si="37"/>
        <v>0</v>
      </c>
      <c r="AM63" s="51"/>
      <c r="AN63" s="51"/>
      <c r="AO63" s="52">
        <f t="shared" si="38"/>
        <v>0</v>
      </c>
      <c r="AP63" s="51"/>
      <c r="AQ63" s="51">
        <v>2500</v>
      </c>
      <c r="AR63" s="52">
        <f t="shared" si="39"/>
        <v>2500</v>
      </c>
      <c r="AS63" s="51"/>
      <c r="AT63" s="51">
        <f>500+73000</f>
        <v>73500</v>
      </c>
      <c r="AU63" s="52">
        <f t="shared" si="40"/>
        <v>73500</v>
      </c>
      <c r="AV63" s="51"/>
      <c r="AW63" s="62">
        <v>500</v>
      </c>
      <c r="AX63" s="52">
        <f t="shared" si="41"/>
        <v>500</v>
      </c>
      <c r="AY63" s="51"/>
      <c r="AZ63" s="51"/>
      <c r="BA63" s="52">
        <f t="shared" si="42"/>
        <v>0</v>
      </c>
      <c r="BB63" s="51"/>
      <c r="BC63" s="51"/>
      <c r="BD63" s="52">
        <f t="shared" si="43"/>
        <v>0</v>
      </c>
      <c r="BE63" s="51"/>
      <c r="BF63" s="51">
        <v>99000</v>
      </c>
      <c r="BG63" s="52">
        <f t="shared" si="44"/>
        <v>99000</v>
      </c>
      <c r="BH63" s="51"/>
      <c r="BI63" s="51"/>
      <c r="BJ63" s="52">
        <f t="shared" si="45"/>
        <v>0</v>
      </c>
      <c r="BK63" s="51"/>
      <c r="BL63" s="51"/>
      <c r="BM63" s="52">
        <f t="shared" si="46"/>
        <v>0</v>
      </c>
      <c r="BN63" s="51"/>
      <c r="BO63" s="51"/>
      <c r="BP63" s="52">
        <f t="shared" si="47"/>
        <v>0</v>
      </c>
      <c r="BQ63" s="51"/>
      <c r="BR63" s="51"/>
      <c r="BS63" s="52">
        <f t="shared" si="48"/>
        <v>0</v>
      </c>
      <c r="BT63" s="51"/>
      <c r="BU63" s="51"/>
      <c r="BV63" s="52">
        <f t="shared" si="49"/>
        <v>0</v>
      </c>
      <c r="BW63" s="36">
        <f t="shared" si="23"/>
        <v>0</v>
      </c>
      <c r="BX63" s="36">
        <f t="shared" si="23"/>
        <v>172500</v>
      </c>
      <c r="BY63" s="36">
        <f t="shared" si="24"/>
        <v>172500</v>
      </c>
      <c r="BZ63" s="36">
        <f t="shared" si="25"/>
        <v>117000</v>
      </c>
      <c r="CA63" s="36">
        <f t="shared" si="25"/>
        <v>3000</v>
      </c>
      <c r="CB63" s="36">
        <f t="shared" si="26"/>
        <v>120000</v>
      </c>
    </row>
    <row r="64" spans="1:80" s="44" customFormat="1" ht="12" outlineLevel="1" x14ac:dyDescent="0.2">
      <c r="A64" s="38"/>
      <c r="B64" s="39" t="s">
        <v>84</v>
      </c>
      <c r="C64" s="63"/>
      <c r="D64" s="63"/>
      <c r="E64" s="60">
        <f t="shared" si="22"/>
        <v>0</v>
      </c>
      <c r="F64" s="63"/>
      <c r="G64" s="63"/>
      <c r="H64" s="60">
        <f t="shared" si="28"/>
        <v>0</v>
      </c>
      <c r="I64" s="63"/>
      <c r="J64" s="63"/>
      <c r="K64" s="60">
        <f t="shared" si="29"/>
        <v>0</v>
      </c>
      <c r="L64" s="63"/>
      <c r="M64" s="63"/>
      <c r="N64" s="60">
        <f t="shared" si="50"/>
        <v>0</v>
      </c>
      <c r="O64" s="63"/>
      <c r="P64" s="63"/>
      <c r="Q64" s="60">
        <f t="shared" si="30"/>
        <v>0</v>
      </c>
      <c r="R64" s="63"/>
      <c r="S64" s="63"/>
      <c r="T64" s="60">
        <f t="shared" si="31"/>
        <v>0</v>
      </c>
      <c r="U64" s="63"/>
      <c r="V64" s="63"/>
      <c r="W64" s="60">
        <f t="shared" si="32"/>
        <v>0</v>
      </c>
      <c r="X64" s="63"/>
      <c r="Y64" s="63"/>
      <c r="Z64" s="60">
        <f t="shared" si="33"/>
        <v>0</v>
      </c>
      <c r="AA64" s="63"/>
      <c r="AB64" s="63"/>
      <c r="AC64" s="60">
        <f t="shared" si="34"/>
        <v>0</v>
      </c>
      <c r="AD64" s="63"/>
      <c r="AE64" s="63"/>
      <c r="AF64" s="60">
        <f t="shared" si="35"/>
        <v>0</v>
      </c>
      <c r="AG64" s="63"/>
      <c r="AH64" s="63"/>
      <c r="AI64" s="60">
        <f t="shared" si="36"/>
        <v>0</v>
      </c>
      <c r="AJ64" s="63"/>
      <c r="AK64" s="63"/>
      <c r="AL64" s="60">
        <f t="shared" si="37"/>
        <v>0</v>
      </c>
      <c r="AM64" s="63"/>
      <c r="AN64" s="63"/>
      <c r="AO64" s="60">
        <f t="shared" si="38"/>
        <v>0</v>
      </c>
      <c r="AP64" s="63"/>
      <c r="AQ64" s="63"/>
      <c r="AR64" s="60">
        <f t="shared" si="39"/>
        <v>0</v>
      </c>
      <c r="AS64" s="63"/>
      <c r="AT64" s="63"/>
      <c r="AU64" s="60">
        <f t="shared" si="40"/>
        <v>0</v>
      </c>
      <c r="AV64" s="63"/>
      <c r="AW64" s="63"/>
      <c r="AX64" s="60">
        <f t="shared" si="41"/>
        <v>0</v>
      </c>
      <c r="AY64" s="63"/>
      <c r="AZ64" s="63"/>
      <c r="BA64" s="60">
        <f t="shared" si="42"/>
        <v>0</v>
      </c>
      <c r="BB64" s="63"/>
      <c r="BC64" s="63"/>
      <c r="BD64" s="60">
        <f t="shared" si="43"/>
        <v>0</v>
      </c>
      <c r="BE64" s="63"/>
      <c r="BF64" s="63"/>
      <c r="BG64" s="60">
        <f t="shared" si="44"/>
        <v>0</v>
      </c>
      <c r="BH64" s="63"/>
      <c r="BI64" s="63"/>
      <c r="BJ64" s="60">
        <f t="shared" si="45"/>
        <v>0</v>
      </c>
      <c r="BK64" s="63"/>
      <c r="BL64" s="63"/>
      <c r="BM64" s="60">
        <f t="shared" si="46"/>
        <v>0</v>
      </c>
      <c r="BN64" s="63"/>
      <c r="BO64" s="63"/>
      <c r="BP64" s="60">
        <f t="shared" si="47"/>
        <v>0</v>
      </c>
      <c r="BQ64" s="63"/>
      <c r="BR64" s="63"/>
      <c r="BS64" s="60">
        <f t="shared" si="48"/>
        <v>0</v>
      </c>
      <c r="BT64" s="63"/>
      <c r="BU64" s="63"/>
      <c r="BV64" s="60">
        <f t="shared" si="49"/>
        <v>0</v>
      </c>
      <c r="BW64" s="43">
        <f t="shared" si="23"/>
        <v>0</v>
      </c>
      <c r="BX64" s="43">
        <f t="shared" si="23"/>
        <v>0</v>
      </c>
      <c r="BY64" s="43">
        <f t="shared" si="24"/>
        <v>0</v>
      </c>
      <c r="BZ64" s="43">
        <f t="shared" si="25"/>
        <v>0</v>
      </c>
      <c r="CA64" s="43">
        <f t="shared" si="25"/>
        <v>0</v>
      </c>
      <c r="CB64" s="43">
        <f t="shared" si="26"/>
        <v>0</v>
      </c>
    </row>
    <row r="65" spans="1:82" ht="25.5" outlineLevel="1" x14ac:dyDescent="0.2">
      <c r="A65" s="33">
        <v>224</v>
      </c>
      <c r="B65" s="49" t="s">
        <v>85</v>
      </c>
      <c r="C65" s="51"/>
      <c r="D65" s="51"/>
      <c r="E65" s="52">
        <f t="shared" si="22"/>
        <v>0</v>
      </c>
      <c r="F65" s="51"/>
      <c r="G65" s="51"/>
      <c r="H65" s="52">
        <f t="shared" si="28"/>
        <v>0</v>
      </c>
      <c r="I65" s="51"/>
      <c r="J65" s="51"/>
      <c r="K65" s="52">
        <f t="shared" si="29"/>
        <v>0</v>
      </c>
      <c r="L65" s="51"/>
      <c r="M65" s="51"/>
      <c r="N65" s="52">
        <f t="shared" si="50"/>
        <v>0</v>
      </c>
      <c r="O65" s="51"/>
      <c r="P65" s="51"/>
      <c r="Q65" s="52">
        <f t="shared" si="30"/>
        <v>0</v>
      </c>
      <c r="R65" s="51"/>
      <c r="S65" s="51"/>
      <c r="T65" s="52">
        <f t="shared" si="31"/>
        <v>0</v>
      </c>
      <c r="U65" s="51"/>
      <c r="V65" s="51"/>
      <c r="W65" s="52">
        <f t="shared" si="32"/>
        <v>0</v>
      </c>
      <c r="X65" s="51"/>
      <c r="Y65" s="51"/>
      <c r="Z65" s="52">
        <f t="shared" si="33"/>
        <v>0</v>
      </c>
      <c r="AA65" s="51"/>
      <c r="AB65" s="51"/>
      <c r="AC65" s="52">
        <f t="shared" si="34"/>
        <v>0</v>
      </c>
      <c r="AD65" s="51"/>
      <c r="AE65" s="51"/>
      <c r="AF65" s="52">
        <f t="shared" si="35"/>
        <v>0</v>
      </c>
      <c r="AG65" s="51"/>
      <c r="AH65" s="51"/>
      <c r="AI65" s="52">
        <f t="shared" si="36"/>
        <v>0</v>
      </c>
      <c r="AJ65" s="51"/>
      <c r="AK65" s="51"/>
      <c r="AL65" s="52">
        <f t="shared" si="37"/>
        <v>0</v>
      </c>
      <c r="AM65" s="51"/>
      <c r="AN65" s="51"/>
      <c r="AO65" s="52">
        <f t="shared" si="38"/>
        <v>0</v>
      </c>
      <c r="AP65" s="51"/>
      <c r="AQ65" s="51"/>
      <c r="AR65" s="52">
        <f t="shared" si="39"/>
        <v>0</v>
      </c>
      <c r="AS65" s="51"/>
      <c r="AT65" s="51"/>
      <c r="AU65" s="52">
        <f t="shared" si="40"/>
        <v>0</v>
      </c>
      <c r="AV65" s="51"/>
      <c r="AW65" s="51"/>
      <c r="AX65" s="52">
        <f t="shared" si="41"/>
        <v>0</v>
      </c>
      <c r="AY65" s="51"/>
      <c r="AZ65" s="51"/>
      <c r="BA65" s="52">
        <f t="shared" si="42"/>
        <v>0</v>
      </c>
      <c r="BB65" s="51"/>
      <c r="BC65" s="51"/>
      <c r="BD65" s="52">
        <f t="shared" si="43"/>
        <v>0</v>
      </c>
      <c r="BE65" s="51"/>
      <c r="BF65" s="51"/>
      <c r="BG65" s="52">
        <f t="shared" si="44"/>
        <v>0</v>
      </c>
      <c r="BH65" s="51"/>
      <c r="BI65" s="51"/>
      <c r="BJ65" s="52">
        <f t="shared" si="45"/>
        <v>0</v>
      </c>
      <c r="BK65" s="51"/>
      <c r="BL65" s="51"/>
      <c r="BM65" s="52">
        <f t="shared" si="46"/>
        <v>0</v>
      </c>
      <c r="BN65" s="51"/>
      <c r="BO65" s="51"/>
      <c r="BP65" s="52">
        <f t="shared" si="47"/>
        <v>0</v>
      </c>
      <c r="BQ65" s="51"/>
      <c r="BR65" s="51"/>
      <c r="BS65" s="52">
        <f t="shared" si="48"/>
        <v>0</v>
      </c>
      <c r="BT65" s="51"/>
      <c r="BU65" s="51"/>
      <c r="BV65" s="52">
        <f t="shared" si="49"/>
        <v>0</v>
      </c>
      <c r="BW65" s="36">
        <f t="shared" si="23"/>
        <v>0</v>
      </c>
      <c r="BX65" s="36">
        <f t="shared" si="23"/>
        <v>0</v>
      </c>
      <c r="BY65" s="36">
        <f t="shared" si="24"/>
        <v>0</v>
      </c>
      <c r="BZ65" s="36">
        <f t="shared" si="25"/>
        <v>0</v>
      </c>
      <c r="CA65" s="36">
        <f t="shared" si="25"/>
        <v>0</v>
      </c>
      <c r="CB65" s="36">
        <f t="shared" si="26"/>
        <v>0</v>
      </c>
    </row>
    <row r="66" spans="1:82" outlineLevel="1" x14ac:dyDescent="0.2">
      <c r="A66" s="33">
        <v>321</v>
      </c>
      <c r="B66" s="49" t="s">
        <v>86</v>
      </c>
      <c r="C66" s="51"/>
      <c r="D66" s="51"/>
      <c r="E66" s="52">
        <f t="shared" si="22"/>
        <v>0</v>
      </c>
      <c r="F66" s="51"/>
      <c r="G66" s="51"/>
      <c r="H66" s="52">
        <f t="shared" si="28"/>
        <v>0</v>
      </c>
      <c r="I66" s="51"/>
      <c r="J66" s="51"/>
      <c r="K66" s="52">
        <f t="shared" si="29"/>
        <v>0</v>
      </c>
      <c r="L66" s="51"/>
      <c r="M66" s="51"/>
      <c r="N66" s="52">
        <f t="shared" si="50"/>
        <v>0</v>
      </c>
      <c r="O66" s="51"/>
      <c r="P66" s="51"/>
      <c r="Q66" s="52">
        <f t="shared" si="30"/>
        <v>0</v>
      </c>
      <c r="R66" s="51"/>
      <c r="S66" s="51"/>
      <c r="T66" s="52">
        <f t="shared" si="31"/>
        <v>0</v>
      </c>
      <c r="U66" s="51"/>
      <c r="V66" s="51"/>
      <c r="W66" s="52">
        <f t="shared" si="32"/>
        <v>0</v>
      </c>
      <c r="X66" s="62"/>
      <c r="Y66" s="51"/>
      <c r="Z66" s="52">
        <f t="shared" si="33"/>
        <v>0</v>
      </c>
      <c r="AA66" s="51"/>
      <c r="AB66" s="51"/>
      <c r="AC66" s="52">
        <f t="shared" si="34"/>
        <v>0</v>
      </c>
      <c r="AD66" s="62"/>
      <c r="AE66" s="51"/>
      <c r="AF66" s="52">
        <f t="shared" si="35"/>
        <v>0</v>
      </c>
      <c r="AG66" s="51"/>
      <c r="AH66" s="51"/>
      <c r="AI66" s="52">
        <f t="shared" si="36"/>
        <v>0</v>
      </c>
      <c r="AJ66" s="51"/>
      <c r="AK66" s="51"/>
      <c r="AL66" s="52">
        <f t="shared" si="37"/>
        <v>0</v>
      </c>
      <c r="AM66" s="51"/>
      <c r="AN66" s="51"/>
      <c r="AO66" s="52">
        <f t="shared" si="38"/>
        <v>0</v>
      </c>
      <c r="AP66" s="51"/>
      <c r="AQ66" s="51"/>
      <c r="AR66" s="52">
        <f t="shared" si="39"/>
        <v>0</v>
      </c>
      <c r="AS66" s="51"/>
      <c r="AT66" s="51"/>
      <c r="AU66" s="52">
        <f t="shared" si="40"/>
        <v>0</v>
      </c>
      <c r="AV66" s="62"/>
      <c r="AW66" s="51"/>
      <c r="AX66" s="52">
        <f t="shared" si="41"/>
        <v>0</v>
      </c>
      <c r="AY66" s="51">
        <v>129324</v>
      </c>
      <c r="AZ66" s="51">
        <v>71847</v>
      </c>
      <c r="BA66" s="52">
        <f t="shared" si="42"/>
        <v>201171</v>
      </c>
      <c r="BB66" s="62">
        <v>129324</v>
      </c>
      <c r="BC66" s="51">
        <v>71847</v>
      </c>
      <c r="BD66" s="52">
        <f t="shared" si="43"/>
        <v>201171</v>
      </c>
      <c r="BE66" s="51"/>
      <c r="BF66" s="51"/>
      <c r="BG66" s="52">
        <f t="shared" si="44"/>
        <v>0</v>
      </c>
      <c r="BH66" s="51"/>
      <c r="BI66" s="51"/>
      <c r="BJ66" s="52">
        <f t="shared" si="45"/>
        <v>0</v>
      </c>
      <c r="BK66" s="51"/>
      <c r="BL66" s="51"/>
      <c r="BM66" s="52">
        <f t="shared" si="46"/>
        <v>0</v>
      </c>
      <c r="BN66" s="51"/>
      <c r="BO66" s="51"/>
      <c r="BP66" s="52">
        <f t="shared" si="47"/>
        <v>0</v>
      </c>
      <c r="BQ66" s="51"/>
      <c r="BR66" s="51"/>
      <c r="BS66" s="52">
        <f t="shared" si="48"/>
        <v>0</v>
      </c>
      <c r="BT66" s="51"/>
      <c r="BU66" s="51"/>
      <c r="BV66" s="52">
        <f t="shared" si="49"/>
        <v>0</v>
      </c>
      <c r="BW66" s="36">
        <f t="shared" si="23"/>
        <v>129324</v>
      </c>
      <c r="BX66" s="36">
        <f t="shared" si="23"/>
        <v>71847</v>
      </c>
      <c r="BY66" s="36">
        <f t="shared" si="24"/>
        <v>201171</v>
      </c>
      <c r="BZ66" s="36">
        <f t="shared" si="25"/>
        <v>129324</v>
      </c>
      <c r="CA66" s="36">
        <f t="shared" si="25"/>
        <v>71847</v>
      </c>
      <c r="CB66" s="36">
        <f t="shared" si="26"/>
        <v>201171</v>
      </c>
    </row>
    <row r="67" spans="1:82" s="44" customFormat="1" ht="12" outlineLevel="1" x14ac:dyDescent="0.2">
      <c r="A67" s="38"/>
      <c r="B67" s="39" t="s">
        <v>87</v>
      </c>
      <c r="C67" s="63"/>
      <c r="D67" s="63"/>
      <c r="E67" s="60">
        <f t="shared" si="22"/>
        <v>0</v>
      </c>
      <c r="F67" s="63"/>
      <c r="G67" s="63"/>
      <c r="H67" s="60">
        <f t="shared" si="28"/>
        <v>0</v>
      </c>
      <c r="I67" s="63"/>
      <c r="J67" s="63"/>
      <c r="K67" s="60">
        <f t="shared" si="29"/>
        <v>0</v>
      </c>
      <c r="L67" s="63"/>
      <c r="M67" s="63"/>
      <c r="N67" s="60">
        <f t="shared" si="50"/>
        <v>0</v>
      </c>
      <c r="O67" s="63"/>
      <c r="P67" s="63"/>
      <c r="Q67" s="60">
        <f t="shared" si="30"/>
        <v>0</v>
      </c>
      <c r="R67" s="63"/>
      <c r="S67" s="63"/>
      <c r="T67" s="60">
        <f t="shared" si="31"/>
        <v>0</v>
      </c>
      <c r="U67" s="63"/>
      <c r="V67" s="63"/>
      <c r="W67" s="60">
        <f t="shared" si="32"/>
        <v>0</v>
      </c>
      <c r="X67" s="63"/>
      <c r="Y67" s="63"/>
      <c r="Z67" s="60">
        <f t="shared" si="33"/>
        <v>0</v>
      </c>
      <c r="AA67" s="63"/>
      <c r="AB67" s="63"/>
      <c r="AC67" s="60">
        <f t="shared" si="34"/>
        <v>0</v>
      </c>
      <c r="AD67" s="63"/>
      <c r="AE67" s="63"/>
      <c r="AF67" s="60">
        <f t="shared" si="35"/>
        <v>0</v>
      </c>
      <c r="AG67" s="63"/>
      <c r="AH67" s="63"/>
      <c r="AI67" s="60">
        <f t="shared" si="36"/>
        <v>0</v>
      </c>
      <c r="AJ67" s="63"/>
      <c r="AK67" s="63"/>
      <c r="AL67" s="60">
        <f t="shared" si="37"/>
        <v>0</v>
      </c>
      <c r="AM67" s="63"/>
      <c r="AN67" s="63"/>
      <c r="AO67" s="60">
        <f t="shared" si="38"/>
        <v>0</v>
      </c>
      <c r="AP67" s="63"/>
      <c r="AQ67" s="63"/>
      <c r="AR67" s="60">
        <f t="shared" si="39"/>
        <v>0</v>
      </c>
      <c r="AS67" s="63"/>
      <c r="AT67" s="63"/>
      <c r="AU67" s="60">
        <f t="shared" si="40"/>
        <v>0</v>
      </c>
      <c r="AV67" s="63"/>
      <c r="AW67" s="63"/>
      <c r="AX67" s="60">
        <f t="shared" si="41"/>
        <v>0</v>
      </c>
      <c r="AY67" s="63"/>
      <c r="AZ67" s="63"/>
      <c r="BA67" s="60">
        <f t="shared" si="42"/>
        <v>0</v>
      </c>
      <c r="BB67" s="63"/>
      <c r="BC67" s="63"/>
      <c r="BD67" s="60">
        <f t="shared" si="43"/>
        <v>0</v>
      </c>
      <c r="BE67" s="63"/>
      <c r="BF67" s="63"/>
      <c r="BG67" s="60">
        <f t="shared" si="44"/>
        <v>0</v>
      </c>
      <c r="BH67" s="63"/>
      <c r="BI67" s="63"/>
      <c r="BJ67" s="60">
        <f t="shared" si="45"/>
        <v>0</v>
      </c>
      <c r="BK67" s="63"/>
      <c r="BL67" s="63"/>
      <c r="BM67" s="60">
        <f t="shared" si="46"/>
        <v>0</v>
      </c>
      <c r="BN67" s="63"/>
      <c r="BO67" s="63"/>
      <c r="BP67" s="60">
        <f t="shared" si="47"/>
        <v>0</v>
      </c>
      <c r="BQ67" s="63"/>
      <c r="BR67" s="63"/>
      <c r="BS67" s="60">
        <f t="shared" si="48"/>
        <v>0</v>
      </c>
      <c r="BT67" s="63"/>
      <c r="BU67" s="63"/>
      <c r="BV67" s="60">
        <f t="shared" si="49"/>
        <v>0</v>
      </c>
      <c r="BW67" s="43">
        <f t="shared" si="23"/>
        <v>0</v>
      </c>
      <c r="BX67" s="43">
        <f t="shared" si="23"/>
        <v>0</v>
      </c>
      <c r="BY67" s="43">
        <f t="shared" si="24"/>
        <v>0</v>
      </c>
      <c r="BZ67" s="43">
        <f t="shared" si="25"/>
        <v>0</v>
      </c>
      <c r="CA67" s="43">
        <f t="shared" si="25"/>
        <v>0</v>
      </c>
      <c r="CB67" s="43">
        <f t="shared" si="26"/>
        <v>0</v>
      </c>
    </row>
    <row r="68" spans="1:82" outlineLevel="1" x14ac:dyDescent="0.2">
      <c r="A68" s="33">
        <v>331</v>
      </c>
      <c r="B68" s="49" t="s">
        <v>88</v>
      </c>
      <c r="C68" s="51"/>
      <c r="D68" s="51"/>
      <c r="E68" s="52">
        <f t="shared" si="22"/>
        <v>0</v>
      </c>
      <c r="F68" s="51"/>
      <c r="G68" s="51"/>
      <c r="H68" s="52">
        <f t="shared" si="28"/>
        <v>0</v>
      </c>
      <c r="I68" s="51"/>
      <c r="J68" s="51"/>
      <c r="K68" s="52">
        <f t="shared" si="29"/>
        <v>0</v>
      </c>
      <c r="L68" s="51"/>
      <c r="M68" s="51"/>
      <c r="N68" s="52">
        <f t="shared" si="50"/>
        <v>0</v>
      </c>
      <c r="O68" s="51"/>
      <c r="P68" s="51"/>
      <c r="Q68" s="52">
        <f t="shared" si="30"/>
        <v>0</v>
      </c>
      <c r="R68" s="51"/>
      <c r="S68" s="51"/>
      <c r="T68" s="52">
        <f t="shared" si="31"/>
        <v>0</v>
      </c>
      <c r="U68" s="51"/>
      <c r="V68" s="51"/>
      <c r="W68" s="52">
        <f t="shared" si="32"/>
        <v>0</v>
      </c>
      <c r="X68" s="51"/>
      <c r="Y68" s="51"/>
      <c r="Z68" s="52">
        <f t="shared" si="33"/>
        <v>0</v>
      </c>
      <c r="AA68" s="51"/>
      <c r="AB68" s="51"/>
      <c r="AC68" s="52">
        <f t="shared" si="34"/>
        <v>0</v>
      </c>
      <c r="AD68" s="51"/>
      <c r="AE68" s="51"/>
      <c r="AF68" s="52">
        <f t="shared" si="35"/>
        <v>0</v>
      </c>
      <c r="AG68" s="51"/>
      <c r="AH68" s="51"/>
      <c r="AI68" s="52">
        <f t="shared" si="36"/>
        <v>0</v>
      </c>
      <c r="AJ68" s="51"/>
      <c r="AK68" s="51"/>
      <c r="AL68" s="52">
        <f t="shared" si="37"/>
        <v>0</v>
      </c>
      <c r="AM68" s="51"/>
      <c r="AN68" s="51"/>
      <c r="AO68" s="52">
        <f t="shared" si="38"/>
        <v>0</v>
      </c>
      <c r="AP68" s="51"/>
      <c r="AQ68" s="51"/>
      <c r="AR68" s="52">
        <f t="shared" si="39"/>
        <v>0</v>
      </c>
      <c r="AS68" s="51"/>
      <c r="AT68" s="51"/>
      <c r="AU68" s="52">
        <f t="shared" si="40"/>
        <v>0</v>
      </c>
      <c r="AV68" s="51"/>
      <c r="AW68" s="51"/>
      <c r="AX68" s="52">
        <f t="shared" si="41"/>
        <v>0</v>
      </c>
      <c r="AY68" s="51"/>
      <c r="AZ68" s="51"/>
      <c r="BA68" s="52">
        <f t="shared" si="42"/>
        <v>0</v>
      </c>
      <c r="BB68" s="51"/>
      <c r="BC68" s="51"/>
      <c r="BD68" s="52">
        <f t="shared" si="43"/>
        <v>0</v>
      </c>
      <c r="BE68" s="51"/>
      <c r="BF68" s="51">
        <v>35410</v>
      </c>
      <c r="BG68" s="52">
        <f t="shared" si="44"/>
        <v>35410</v>
      </c>
      <c r="BH68" s="51"/>
      <c r="BI68" s="51"/>
      <c r="BJ68" s="52">
        <f t="shared" si="45"/>
        <v>0</v>
      </c>
      <c r="BK68" s="51"/>
      <c r="BL68" s="51"/>
      <c r="BM68" s="52">
        <f t="shared" si="46"/>
        <v>0</v>
      </c>
      <c r="BN68" s="51"/>
      <c r="BO68" s="51"/>
      <c r="BP68" s="52">
        <f t="shared" si="47"/>
        <v>0</v>
      </c>
      <c r="BQ68" s="51"/>
      <c r="BR68" s="51"/>
      <c r="BS68" s="52">
        <f t="shared" si="48"/>
        <v>0</v>
      </c>
      <c r="BT68" s="51"/>
      <c r="BU68" s="51"/>
      <c r="BV68" s="52">
        <f t="shared" si="49"/>
        <v>0</v>
      </c>
      <c r="BW68" s="36">
        <f t="shared" si="23"/>
        <v>0</v>
      </c>
      <c r="BX68" s="36">
        <f t="shared" si="23"/>
        <v>35410</v>
      </c>
      <c r="BY68" s="36">
        <f t="shared" si="24"/>
        <v>35410</v>
      </c>
      <c r="BZ68" s="36">
        <f t="shared" si="25"/>
        <v>0</v>
      </c>
      <c r="CA68" s="36">
        <f t="shared" si="25"/>
        <v>0</v>
      </c>
      <c r="CB68" s="36">
        <f t="shared" si="26"/>
        <v>0</v>
      </c>
    </row>
    <row r="69" spans="1:82" outlineLevel="1" x14ac:dyDescent="0.2">
      <c r="A69" s="33">
        <v>332</v>
      </c>
      <c r="B69" s="49" t="s">
        <v>89</v>
      </c>
      <c r="C69" s="51"/>
      <c r="D69" s="51"/>
      <c r="E69" s="52">
        <f t="shared" si="22"/>
        <v>0</v>
      </c>
      <c r="F69" s="51"/>
      <c r="G69" s="51"/>
      <c r="H69" s="52">
        <f t="shared" si="28"/>
        <v>0</v>
      </c>
      <c r="I69" s="62"/>
      <c r="J69" s="51"/>
      <c r="K69" s="52">
        <f t="shared" si="29"/>
        <v>0</v>
      </c>
      <c r="L69" s="62">
        <v>6417971.04</v>
      </c>
      <c r="M69" s="51"/>
      <c r="N69" s="52"/>
      <c r="O69" s="51">
        <v>348840</v>
      </c>
      <c r="P69" s="51"/>
      <c r="Q69" s="52">
        <f t="shared" si="30"/>
        <v>348840</v>
      </c>
      <c r="R69" s="51">
        <v>348840</v>
      </c>
      <c r="S69" s="51"/>
      <c r="T69" s="52">
        <f t="shared" si="31"/>
        <v>348840</v>
      </c>
      <c r="U69" s="51">
        <f>1043514+2000</f>
        <v>1045514</v>
      </c>
      <c r="V69" s="51">
        <v>104952</v>
      </c>
      <c r="W69" s="52">
        <f t="shared" si="32"/>
        <v>1150466</v>
      </c>
      <c r="X69" s="62">
        <v>2000</v>
      </c>
      <c r="Y69" s="51">
        <v>104952</v>
      </c>
      <c r="Z69" s="52">
        <f t="shared" si="33"/>
        <v>106952</v>
      </c>
      <c r="AA69" s="51"/>
      <c r="AB69" s="51"/>
      <c r="AC69" s="52">
        <f t="shared" si="34"/>
        <v>0</v>
      </c>
      <c r="AD69" s="51"/>
      <c r="AE69" s="51"/>
      <c r="AF69" s="52">
        <f t="shared" si="35"/>
        <v>0</v>
      </c>
      <c r="AG69" s="51"/>
      <c r="AH69" s="51">
        <v>100000</v>
      </c>
      <c r="AI69" s="52">
        <f t="shared" si="36"/>
        <v>100000</v>
      </c>
      <c r="AJ69" s="51"/>
      <c r="AK69" s="51">
        <v>100000</v>
      </c>
      <c r="AL69" s="52">
        <f t="shared" si="37"/>
        <v>100000</v>
      </c>
      <c r="AM69" s="51"/>
      <c r="AN69" s="51"/>
      <c r="AO69" s="52">
        <f t="shared" si="38"/>
        <v>0</v>
      </c>
      <c r="AP69" s="51"/>
      <c r="AQ69" s="51"/>
      <c r="AR69" s="52">
        <f t="shared" si="39"/>
        <v>0</v>
      </c>
      <c r="AS69" s="51">
        <f>53000</f>
        <v>53000</v>
      </c>
      <c r="AT69" s="51"/>
      <c r="AU69" s="52">
        <f t="shared" si="40"/>
        <v>53000</v>
      </c>
      <c r="AV69" s="51">
        <v>53000</v>
      </c>
      <c r="AW69" s="51"/>
      <c r="AX69" s="52">
        <f t="shared" si="41"/>
        <v>53000</v>
      </c>
      <c r="AY69" s="51">
        <v>15000</v>
      </c>
      <c r="AZ69" s="51"/>
      <c r="BA69" s="52">
        <f t="shared" si="42"/>
        <v>15000</v>
      </c>
      <c r="BB69" s="62">
        <v>54000</v>
      </c>
      <c r="BC69" s="51"/>
      <c r="BD69" s="52">
        <f t="shared" si="43"/>
        <v>54000</v>
      </c>
      <c r="BE69" s="51">
        <v>68500</v>
      </c>
      <c r="BF69" s="51"/>
      <c r="BG69" s="52">
        <f t="shared" si="44"/>
        <v>68500</v>
      </c>
      <c r="BH69" s="51"/>
      <c r="BI69" s="51"/>
      <c r="BJ69" s="52">
        <f t="shared" si="45"/>
        <v>0</v>
      </c>
      <c r="BK69" s="51"/>
      <c r="BL69" s="51"/>
      <c r="BM69" s="52">
        <f t="shared" si="46"/>
        <v>0</v>
      </c>
      <c r="BN69" s="51"/>
      <c r="BO69" s="51"/>
      <c r="BP69" s="52">
        <f t="shared" si="47"/>
        <v>0</v>
      </c>
      <c r="BQ69" s="51"/>
      <c r="BR69" s="51"/>
      <c r="BS69" s="52">
        <f t="shared" si="48"/>
        <v>0</v>
      </c>
      <c r="BT69" s="51"/>
      <c r="BU69" s="51"/>
      <c r="BV69" s="52">
        <f t="shared" si="49"/>
        <v>0</v>
      </c>
      <c r="BW69" s="36">
        <f t="shared" si="23"/>
        <v>1530854</v>
      </c>
      <c r="BX69" s="36">
        <f t="shared" si="23"/>
        <v>204952</v>
      </c>
      <c r="BY69" s="36">
        <f t="shared" si="24"/>
        <v>1735806</v>
      </c>
      <c r="BZ69" s="36">
        <f t="shared" si="25"/>
        <v>6875811.04</v>
      </c>
      <c r="CA69" s="36">
        <f t="shared" si="25"/>
        <v>204952</v>
      </c>
      <c r="CB69" s="36">
        <f t="shared" si="26"/>
        <v>7080763.04</v>
      </c>
    </row>
    <row r="70" spans="1:82" s="57" customFormat="1" x14ac:dyDescent="0.2">
      <c r="A70" s="53"/>
      <c r="B70" s="54" t="s">
        <v>45</v>
      </c>
      <c r="C70" s="55">
        <f>C32+C34+C35+C36+C38+C43+C44+C45+C46+C48+C50+C52+C53+C54+C55+C56+C57+C58+C61+C63+C65+C66+C68+C69</f>
        <v>0</v>
      </c>
      <c r="D70" s="55">
        <f>D32+D34+D36+D38+D43+D44+D45+D46+D48+D50+D52+D53+D54+D55+D56+D57+D58+D61+D63+D65+D66+D68+D69+D35</f>
        <v>0</v>
      </c>
      <c r="E70" s="55">
        <f t="shared" si="22"/>
        <v>0</v>
      </c>
      <c r="F70" s="55">
        <f>F32+F34+F35+F36+F38+F43+F44+F45+F46+F48+F50+F52+F53+F54+F55+F56+F57+F58+F61+F63+F65+F66+F68+F69</f>
        <v>437726.47000000003</v>
      </c>
      <c r="G70" s="55">
        <f>G32+G34+G36+G38+G43+G44+G45+G46+G48+G50+G52+G53+G54+G55+G56+G57+G58+G61+G63+G65+G66+G68+G69+G35</f>
        <v>204098</v>
      </c>
      <c r="H70" s="55">
        <f t="shared" si="28"/>
        <v>641824.47</v>
      </c>
      <c r="I70" s="55">
        <f>I32+I34+I35+I36+I38+I43+I44+I45+I46+I48+I50+I52+I53+I54+I55+I56+I57+I58+I61+I63+I65+I66+I68+I69</f>
        <v>0</v>
      </c>
      <c r="J70" s="55">
        <f>J32+J34+J36+J38+J43+J44+J45+J46+J48+J50+J52+J53+J54+J55+J56+J57+J58+J61+J63+J65+J66+J68+J69+J35</f>
        <v>0</v>
      </c>
      <c r="K70" s="55">
        <f t="shared" si="29"/>
        <v>0</v>
      </c>
      <c r="L70" s="55">
        <f>L32+L34+L35+L36+L38+L43+L44+L45+L46+L48+L50+L52+L53+L54+L55+L56+L57+L58+L61+L63+L65+L66+L68+L69</f>
        <v>6983755.54</v>
      </c>
      <c r="M70" s="55">
        <f>M32+M34+M36+M38+M43+M44+M45+M46+M48+M50+M52+M53+M54+M55+M56+M57+M58+M61+M63+M65+M66+M68+M69+M35</f>
        <v>174447</v>
      </c>
      <c r="N70" s="55">
        <f t="shared" si="50"/>
        <v>7158202.54</v>
      </c>
      <c r="O70" s="55">
        <f>O32+O34+O35+O36+O38+O43+O44+O45+O46+O48+O50+O52+O53+O54+O55+O56+O57+O58+O61+O63+O65+O66+O68+O69</f>
        <v>2675739.64</v>
      </c>
      <c r="P70" s="55">
        <f>P32+P34+P36+P38+P43+P44+P45+P46+P48+P50+P52+P53+P54+P55+P56+P57+P58+P61+P63+P65+P66+P68+P69+P35</f>
        <v>157571</v>
      </c>
      <c r="Q70" s="55">
        <f t="shared" si="30"/>
        <v>2833310.64</v>
      </c>
      <c r="R70" s="55">
        <f>R32+R34+R35+R36+R38+R43+R44+R45+R46+R48+R50+R52+R53+R54+R55+R56+R57+R58+R61+R63+R65+R66+R68+R69</f>
        <v>2675739.64</v>
      </c>
      <c r="S70" s="55">
        <f>S32+S34+S36+S38+S43+S44+S45+S46+S48+S50+S52+S53+S54+S55+S56+S57+S58+S61+S63+S65+S66+S68+S69+S35</f>
        <v>184071</v>
      </c>
      <c r="T70" s="55">
        <f t="shared" si="31"/>
        <v>2859810.64</v>
      </c>
      <c r="U70" s="55">
        <f>U32+U34+U35+U36+U38+U43+U44+U45+U46+U48+U50+U52+U53+U54+U55+U56+U57+U58+U61+U63+U65+U66+U68+U69</f>
        <v>2498004.61</v>
      </c>
      <c r="V70" s="55">
        <f>V32+V34+V36+V38+V43+V44+V45+V46+V48+V50+V52+V53+V54+V55+V56+V57+V58+V61+V63+V65+V66+V68+V69+V35</f>
        <v>355664</v>
      </c>
      <c r="W70" s="55">
        <f t="shared" si="32"/>
        <v>2853668.61</v>
      </c>
      <c r="X70" s="55">
        <f>X32+X34+X35+X36+X38+X43+X44+X45+X46+X48+X50+X52+X53+X54+X55+X56+X57+X58+X61+X63+X65+X66+X68+X69</f>
        <v>2617504.6100000003</v>
      </c>
      <c r="Y70" s="55">
        <f>Y32+Y34+Y36+Y38+Y43+Y44+Y45+Y46+Y48+Y50+Y52+Y53+Y54+Y55+Y56+Y57+Y58+Y61+Y63+Y65+Y66+Y68+Y69+Y35</f>
        <v>355664</v>
      </c>
      <c r="Z70" s="55">
        <f t="shared" si="33"/>
        <v>2973168.6100000003</v>
      </c>
      <c r="AA70" s="55">
        <f>AA32+AA34+AA35+AA36+AA38+AA43+AA44+AA45+AA46+AA48+AA50+AA52+AA53+AA54+AA55+AA56+AA57+AA58+AA61+AA63+AA65+AA66+AA68+AA69</f>
        <v>1151965.75</v>
      </c>
      <c r="AB70" s="55">
        <f>AB32+AB34+AB36+AB38+AB43+AB44+AB45+AB46+AB48+AB50+AB52+AB53+AB54+AB55+AB56+AB57+AB58+AB61+AB63+AB65+AB66+AB68+AB69+AB35</f>
        <v>560219</v>
      </c>
      <c r="AC70" s="55">
        <f t="shared" si="34"/>
        <v>1712184.75</v>
      </c>
      <c r="AD70" s="55">
        <f>AD32+AD34+AD35+AD36+AD38+AD43+AD44+AD45+AD46+AD48+AD50+AD52+AD53+AD54+AD55+AD56+AD57+AD58+AD61+AD63+AD65+AD66+AD68+AD69</f>
        <v>1176944.68</v>
      </c>
      <c r="AE70" s="55">
        <f>AE32+AE34+AE36+AE38+AE43+AE44+AE45+AE46+AE48+AE50+AE52+AE53+AE54+AE55+AE56+AE57+AE58+AE61+AE63+AE65+AE66+AE68+AE69+AE35</f>
        <v>560219</v>
      </c>
      <c r="AF70" s="55">
        <f t="shared" si="35"/>
        <v>1737163.68</v>
      </c>
      <c r="AG70" s="55">
        <f>AG32+AG34+AG35+AG36+AG38+AG43+AG44+AG45+AG46+AG48+AG50+AG52+AG53+AG54+AG55+AG56+AG57+AG58+AG61+AG63+AG65+AG66+AG68+AG69</f>
        <v>2903263.94</v>
      </c>
      <c r="AH70" s="55">
        <f>AH32+AH34+AH36+AH38+AH43+AH44+AH45+AH46+AH48+AH50+AH52+AH53+AH54+AH55+AH56+AH57+AH58+AH61+AH63+AH65+AH66+AH68+AH69+AH35</f>
        <v>715628</v>
      </c>
      <c r="AI70" s="55">
        <f t="shared" si="36"/>
        <v>3618891.94</v>
      </c>
      <c r="AJ70" s="55">
        <f>AJ32+AJ34+AJ35+AJ36+AJ38+AJ43+AJ44+AJ45+AJ46+AJ48+AJ50+AJ52+AJ53+AJ54+AJ55+AJ56+AJ57+AJ58+AJ61+AJ63+AJ65+AJ66+AJ68+AJ69</f>
        <v>2903263.94</v>
      </c>
      <c r="AK70" s="55">
        <f>AK32+AK34+AK36+AK38+AK43+AK44+AK45+AK46+AK48+AK50+AK52+AK53+AK54+AK55+AK56+AK57+AK58+AK61+AK63+AK65+AK66+AK68+AK69+AK35</f>
        <v>715628</v>
      </c>
      <c r="AL70" s="55">
        <f t="shared" si="37"/>
        <v>3618891.94</v>
      </c>
      <c r="AM70" s="55">
        <f>AM32+AM34+AM35+AM36+AM38+AM43+AM44+AM45+AM46+AM48+AM50+AM52+AM53+AM54+AM55+AM56+AM57+AM58+AM61+AM63+AM65+AM66+AM68+AM69</f>
        <v>783339.73</v>
      </c>
      <c r="AN70" s="55">
        <f>AN32+AN34+AN36+AN38+AN43+AN44+AN45+AN46+AN48+AN50+AN52+AN53+AN54+AN55+AN56+AN57+AN58+AN61+AN63+AN65+AN66+AN68+AN69+AN35</f>
        <v>501370</v>
      </c>
      <c r="AO70" s="55">
        <f t="shared" si="38"/>
        <v>1284709.73</v>
      </c>
      <c r="AP70" s="55">
        <f>AP32+AP34+AP35+AP36+AP38+AP43+AP44+AP45+AP46+AP48+AP50+AP52+AP53+AP54+AP55+AP56+AP57+AP58+AP61+AP63+AP65+AP66+AP68+AP69</f>
        <v>783339.73</v>
      </c>
      <c r="AQ70" s="55">
        <f>AQ32+AQ34+AQ36+AQ38+AQ43+AQ44+AQ45+AQ46+AQ48+AQ50+AQ52+AQ53+AQ54+AQ55+AQ56+AQ57+AQ58+AQ61+AQ63+AQ65+AQ66+AQ68+AQ69+AQ35</f>
        <v>501370</v>
      </c>
      <c r="AR70" s="55">
        <f t="shared" si="39"/>
        <v>1284709.73</v>
      </c>
      <c r="AS70" s="55">
        <f>AS32+AS34+AS35+AS36+AS38+AS43+AS44+AS45+AS46+AS48+AS50+AS52+AS53+AS54+AS55+AS56+AS57+AS58+AS61+AS63+AS65+AS66+AS68+AS69</f>
        <v>789960.52999999991</v>
      </c>
      <c r="AT70" s="55">
        <f>AT32+AT34+AT36+AT38+AT43+AT44+AT45+AT46+AT48+AT50+AT52+AT53+AT54+AT55+AT56+AT57+AT58+AT61+AT63+AT65+AT66+AT68+AT69+AT35</f>
        <v>535540</v>
      </c>
      <c r="AU70" s="55">
        <f t="shared" si="40"/>
        <v>1325500.5299999998</v>
      </c>
      <c r="AV70" s="55">
        <f>AV32+AV34+AV35+AV36+AV38+AV43+AV44+AV45+AV46+AV48+AV50+AV52+AV53+AV54+AV55+AV56+AV57+AV58+AV61+AV63+AV65+AV66+AV68+AV69</f>
        <v>789960.52999999991</v>
      </c>
      <c r="AW70" s="55">
        <f>AW32+AW34+AW36+AW38+AW43+AW44+AW45+AW46+AW48+AW50+AW52+AW53+AW54+AW55+AW56+AW57+AW58+AW61+AW63+AW65+AW66+AW68+AW69+AW35</f>
        <v>535540</v>
      </c>
      <c r="AX70" s="55">
        <f t="shared" si="41"/>
        <v>1325500.5299999998</v>
      </c>
      <c r="AY70" s="55">
        <f>AY32+AY34+AY35+AY36+AY38+AY43+AY44+AY45+AY46+AY48+AY50+AY52+AY53+AY54+AY55+AY56+AY57+AY58+AY61+AY63+AY65+AY66+AY68+AY69</f>
        <v>820727.73</v>
      </c>
      <c r="AZ70" s="55">
        <f>AZ32+AZ34+AZ36+AZ38+AZ43+AZ44+AZ45+AZ46+AZ48+AZ50+AZ52+AZ53+AZ54+AZ55+AZ56+AZ57+AZ58+AZ61+AZ63+AZ65+AZ66+AZ68+AZ69+AZ35</f>
        <v>271813</v>
      </c>
      <c r="BA70" s="55">
        <f t="shared" si="42"/>
        <v>1092540.73</v>
      </c>
      <c r="BB70" s="55">
        <f>BB32+BB34+BB35+BB36+BB38+BB43+BB44+BB45+BB46+BB48+BB50+BB52+BB53+BB54+BB55+BB56+BB57+BB58+BB61+BB63+BB65+BB66+BB68+BB69</f>
        <v>939276.59</v>
      </c>
      <c r="BC70" s="55">
        <f>BC32+BC34+BC36+BC38+BC43+BC44+BC45+BC46+BC48+BC50+BC52+BC53+BC54+BC55+BC56+BC57+BC58+BC61+BC63+BC65+BC66+BC68+BC69+BC35</f>
        <v>271813</v>
      </c>
      <c r="BD70" s="55">
        <f t="shared" si="43"/>
        <v>1211089.5899999999</v>
      </c>
      <c r="BE70" s="55">
        <f>BE32+BE34+BE35+BE36+BE38+BE43+BE44+BE45+BE46+BE48+BE50+BE52+BE53+BE54+BE55+BE56+BE57+BE58+BE61+BE63+BE65+BE66+BE68+BE69</f>
        <v>717546.72000000009</v>
      </c>
      <c r="BF70" s="55">
        <f>BF32+BF34+BF36+BF38+BF43+BF44+BF45+BF46+BF48+BF50+BF52+BF53+BF54+BF55+BF56+BF57+BF58+BF61+BF63+BF65+BF66+BF68+BF69+BF35</f>
        <v>457688</v>
      </c>
      <c r="BG70" s="55">
        <f t="shared" si="44"/>
        <v>1175234.7200000002</v>
      </c>
      <c r="BH70" s="55">
        <f>BH32+BH34+BH35+BH36+BH38+BH43+BH44+BH45+BH46+BH48+BH50+BH52+BH53+BH54+BH55+BH56+BH57+BH58+BH61+BH63+BH65+BH66+BH68+BH69</f>
        <v>0</v>
      </c>
      <c r="BI70" s="55">
        <f>BI32+BI34+BI36+BI38+BI43+BI44+BI45+BI46+BI48+BI50+BI52+BI53+BI54+BI55+BI56+BI57+BI58+BI61+BI63+BI65+BI66+BI68+BI69+BI35</f>
        <v>0</v>
      </c>
      <c r="BJ70" s="55">
        <f t="shared" si="45"/>
        <v>0</v>
      </c>
      <c r="BK70" s="55">
        <f>BK32+BK34+BK35+BK36+BK38+BK43+BK44+BK45+BK46+BK48+BK50+BK52+BK53+BK54+BK55+BK56+BK57+BK58+BK61+BK63+BK65+BK66+BK68+BK69</f>
        <v>0</v>
      </c>
      <c r="BL70" s="55">
        <f>BL32+BL34+BL36+BL38+BL43+BL44+BL45+BL46+BL48+BL50+BL52+BL53+BL54+BL55+BL56+BL57+BL58+BL61+BL63+BL65+BL66+BL68+BL69+BL35</f>
        <v>0</v>
      </c>
      <c r="BM70" s="55">
        <f t="shared" si="46"/>
        <v>0</v>
      </c>
      <c r="BN70" s="55">
        <f>BN32+BN34+BN35+BN36+BN38+BN43+BN44+BN45+BN46+BN48+BN50+BN52+BN53+BN54+BN55+BN56+BN57+BN58+BN61+BN63+BN65+BN66+BN68+BN69</f>
        <v>0</v>
      </c>
      <c r="BO70" s="55">
        <f>BO32+BO34+BO36+BO38+BO43+BO44+BO45+BO46+BO48+BO50+BO52+BO53+BO54+BO55+BO56+BO57+BO58+BO61+BO63+BO65+BO66+BO68+BO69+BO35</f>
        <v>0</v>
      </c>
      <c r="BP70" s="55">
        <f t="shared" si="47"/>
        <v>0</v>
      </c>
      <c r="BQ70" s="55">
        <f>BQ32+BQ34+BQ35+BQ36+BQ38+BQ43+BQ44+BQ45+BQ46+BQ48+BQ50+BQ52+BQ53+BQ54+BQ55+BQ56+BQ57+BQ58+BQ61+BQ63+BQ65+BQ66+BQ68+BQ69</f>
        <v>0</v>
      </c>
      <c r="BR70" s="55">
        <f>BR32+BR34+BR36+BR38+BR43+BR44+BR45+BR46+BR48+BR50+BR52+BR53+BR54+BR55+BR56+BR57+BR58+BR61+BR63+BR65+BR66+BR68+BR69+BR35</f>
        <v>0</v>
      </c>
      <c r="BS70" s="55">
        <f t="shared" si="48"/>
        <v>0</v>
      </c>
      <c r="BT70" s="55">
        <f>BT32+BT34+BT35+BT36+BT38+BT43+BT44+BT45+BT46+BT48+BT50+BT52+BT53+BT54+BT55+BT56+BT57+BT58+BT61+BT63+BT65+BT66+BT68+BT69</f>
        <v>0</v>
      </c>
      <c r="BU70" s="55">
        <f>BU32+BU34+BU36+BU38+BU43+BU44+BU45+BU46+BU48+BU50+BU52+BU53+BU54+BU55+BU56+BU57+BU58+BU61+BU63+BU65+BU66+BU68+BU69+BU35</f>
        <v>0</v>
      </c>
      <c r="BV70" s="55">
        <f t="shared" si="49"/>
        <v>0</v>
      </c>
      <c r="BW70" s="55">
        <f>BW32+BW34+BW35+BW36+BW38+BW43+BW44+BW45+BW46+BW48+BW50+BW52+BW53+BW54+BW55+BW56+BW57+BW58+BW61+BW63+BW65+BW66+BW68+BW69</f>
        <v>12340548.65</v>
      </c>
      <c r="BX70" s="55">
        <f>BX32+BX34+BX36+BX38+BX43+BX44+BX45+BX46+BX48+BX50+BX52+BX53+BX54+BX55+BX56+BX57+BX58+BX61+BX63+BX65+BX66+BX68+BX69+BX35</f>
        <v>3555493</v>
      </c>
      <c r="BY70" s="55">
        <f t="shared" si="24"/>
        <v>15896041.65</v>
      </c>
      <c r="BZ70" s="55">
        <f>BZ32+BZ34+BZ35+BZ36+BZ38+BZ43+BZ44+BZ45+BZ46+BZ48+BZ50+BZ52+BZ53+BZ54+BZ55+BZ56+BZ57+BZ58+BZ61+BZ63+BZ65+BZ66+BZ68+BZ69</f>
        <v>19307511.730000004</v>
      </c>
      <c r="CA70" s="55">
        <f>CA32+CA34+CA36+CA38+CA43+CA44+CA45+CA46+CA48+CA50+CA52+CA53+CA54+CA55+CA56+CA57+CA58+CA61+CA63+CA65+CA66+CA68+CA69+CA35</f>
        <v>3502850</v>
      </c>
      <c r="CB70" s="55">
        <f t="shared" si="26"/>
        <v>22810361.730000004</v>
      </c>
    </row>
    <row r="71" spans="1:82" x14ac:dyDescent="0.2">
      <c r="A71" s="74"/>
      <c r="B71" s="74"/>
      <c r="C71" s="75"/>
      <c r="D71" s="75"/>
      <c r="E71" s="76"/>
      <c r="F71" s="76"/>
      <c r="G71" s="76"/>
      <c r="H71" s="76"/>
      <c r="I71" s="75"/>
      <c r="J71" s="75"/>
      <c r="K71" s="76"/>
      <c r="L71" s="76"/>
      <c r="M71" s="76"/>
      <c r="N71" s="76"/>
      <c r="O71" s="75"/>
      <c r="P71" s="75"/>
      <c r="Q71" s="76"/>
      <c r="R71" s="76"/>
      <c r="S71" s="76"/>
      <c r="T71" s="76"/>
      <c r="U71" s="75"/>
      <c r="V71" s="75"/>
      <c r="W71" s="76"/>
      <c r="X71" s="76"/>
      <c r="Y71" s="76"/>
      <c r="Z71" s="76"/>
      <c r="AA71" s="75"/>
      <c r="AB71" s="75"/>
      <c r="AC71" s="76"/>
      <c r="AD71" s="76"/>
      <c r="AE71" s="76"/>
      <c r="AF71" s="76"/>
      <c r="AG71" s="75"/>
      <c r="AH71" s="75"/>
      <c r="AI71" s="76"/>
      <c r="AJ71" s="76"/>
      <c r="AK71" s="76"/>
      <c r="AL71" s="76"/>
      <c r="AM71" s="75"/>
      <c r="AN71" s="75"/>
      <c r="AO71" s="76"/>
      <c r="AP71" s="76"/>
      <c r="AQ71" s="76"/>
      <c r="AR71" s="76"/>
      <c r="AS71" s="75"/>
      <c r="AT71" s="75"/>
      <c r="AU71" s="76"/>
      <c r="AV71" s="76"/>
      <c r="AW71" s="76"/>
      <c r="AX71" s="76"/>
      <c r="AY71" s="75"/>
      <c r="AZ71" s="75"/>
      <c r="BA71" s="76"/>
      <c r="BB71" s="76"/>
      <c r="BC71" s="76"/>
      <c r="BD71" s="76"/>
      <c r="BE71" s="75"/>
      <c r="BF71" s="75"/>
      <c r="BG71" s="76"/>
      <c r="BH71" s="76"/>
      <c r="BI71" s="76"/>
      <c r="BJ71" s="76"/>
      <c r="BK71" s="75"/>
      <c r="BL71" s="75"/>
      <c r="BM71" s="76"/>
      <c r="BN71" s="76"/>
      <c r="BO71" s="76"/>
      <c r="BP71" s="76"/>
      <c r="BQ71" s="75"/>
      <c r="BR71" s="75"/>
      <c r="BS71" s="76"/>
      <c r="BT71" s="76"/>
      <c r="BU71" s="76"/>
      <c r="BV71" s="76"/>
      <c r="BW71" s="36"/>
      <c r="BX71" s="36"/>
      <c r="BY71" s="36"/>
      <c r="BZ71" s="36"/>
      <c r="CA71" s="36"/>
      <c r="CB71" s="36"/>
    </row>
    <row r="72" spans="1:82" s="80" customFormat="1" ht="15" x14ac:dyDescent="0.2">
      <c r="A72" s="77"/>
      <c r="B72" s="29" t="s">
        <v>90</v>
      </c>
      <c r="C72" s="78">
        <f>C8+C30-C70</f>
        <v>0</v>
      </c>
      <c r="D72" s="78">
        <f>D8+D30-D70</f>
        <v>0</v>
      </c>
      <c r="E72" s="78">
        <f>C72+D72</f>
        <v>0</v>
      </c>
      <c r="F72" s="78">
        <f>F8+F30-F70</f>
        <v>6935.1499999997322</v>
      </c>
      <c r="G72" s="78">
        <f>G8+G30-G70</f>
        <v>70184</v>
      </c>
      <c r="H72" s="78">
        <f>F72+G72</f>
        <v>77119.149999999732</v>
      </c>
      <c r="I72" s="78">
        <f>I8+I30-I70</f>
        <v>6935.1499999997322</v>
      </c>
      <c r="J72" s="78">
        <f>J8+J30-J70</f>
        <v>70184</v>
      </c>
      <c r="K72" s="78">
        <f>I72+J72</f>
        <v>77119.149999999732</v>
      </c>
      <c r="L72" s="78">
        <f>L8+L30-L70</f>
        <v>17482.209999999031</v>
      </c>
      <c r="M72" s="78">
        <f>M8+M30-M70</f>
        <v>68137</v>
      </c>
      <c r="N72" s="78">
        <f>L72+M72</f>
        <v>85619.209999999031</v>
      </c>
      <c r="O72" s="78">
        <f>O8+O30-O70</f>
        <v>39848.119999998715</v>
      </c>
      <c r="P72" s="78">
        <f>P8+P30-P70</f>
        <v>178576</v>
      </c>
      <c r="Q72" s="78">
        <f>O72+P72</f>
        <v>218424.11999999871</v>
      </c>
      <c r="R72" s="78">
        <f>R8+R30-R70</f>
        <v>289848.11999999871</v>
      </c>
      <c r="S72" s="78">
        <f>S8+S30-S70</f>
        <v>152076</v>
      </c>
      <c r="T72" s="78">
        <f>R72+S72</f>
        <v>441924.11999999871</v>
      </c>
      <c r="U72" s="78">
        <f>U8+U30-U70</f>
        <v>260561.94999999879</v>
      </c>
      <c r="V72" s="78">
        <f>V8+V30-V70</f>
        <v>189694</v>
      </c>
      <c r="W72" s="78">
        <f>U72+V72</f>
        <v>450255.94999999879</v>
      </c>
      <c r="X72" s="78">
        <f>X8+X30-X70</f>
        <v>141061.94999999832</v>
      </c>
      <c r="Y72" s="78">
        <f>Y8+Y30-Y70</f>
        <v>341770</v>
      </c>
      <c r="Z72" s="78">
        <f>X72+Y72</f>
        <v>482831.94999999832</v>
      </c>
      <c r="AA72" s="78">
        <f>AA8+AA30-AA70</f>
        <v>-4144.8799999998882</v>
      </c>
      <c r="AB72" s="78">
        <f>AB8+AB30-AB70</f>
        <v>157311</v>
      </c>
      <c r="AC72" s="78">
        <f>AA72+AB72</f>
        <v>153166.12000000011</v>
      </c>
      <c r="AD72" s="78">
        <f>AD8+AD30-AD70</f>
        <v>111938.1399999985</v>
      </c>
      <c r="AE72" s="78">
        <f>AE8+AE30-AE70</f>
        <v>499081</v>
      </c>
      <c r="AF72" s="78">
        <f>AD72+AE72</f>
        <v>611019.1399999985</v>
      </c>
      <c r="AG72" s="78">
        <f>AG8+AG30-AG70</f>
        <v>-4230.6099999998696</v>
      </c>
      <c r="AH72" s="78">
        <f>AH8+AH30-AH70</f>
        <v>-53250</v>
      </c>
      <c r="AI72" s="78">
        <f>AG72+AH72</f>
        <v>-57480.60999999987</v>
      </c>
      <c r="AJ72" s="78">
        <f>AJ8+AJ30-AJ70</f>
        <v>107707.52999999886</v>
      </c>
      <c r="AK72" s="78">
        <f>AK8+AK30-AK70</f>
        <v>445831</v>
      </c>
      <c r="AL72" s="78">
        <f>AJ72+AK72</f>
        <v>553538.52999999886</v>
      </c>
      <c r="AM72" s="78">
        <f>AM8+AM30-AM70</f>
        <v>412905.85999999987</v>
      </c>
      <c r="AN72" s="78">
        <f>AN8+AN30-AN70</f>
        <v>-269995</v>
      </c>
      <c r="AO72" s="78">
        <f>AM72+AN72</f>
        <v>142910.85999999987</v>
      </c>
      <c r="AP72" s="78">
        <f>AP8+AP30-AP70</f>
        <v>520613.38999999873</v>
      </c>
      <c r="AQ72" s="78">
        <f>AQ8+AQ30-AQ70</f>
        <v>175836</v>
      </c>
      <c r="AR72" s="78">
        <f>AP72+AQ72</f>
        <v>696449.38999999873</v>
      </c>
      <c r="AS72" s="78">
        <f>AS8+AS30-AS70</f>
        <v>-456428.8299999999</v>
      </c>
      <c r="AT72" s="78">
        <f>AT8+AT30-AT70</f>
        <v>-128448</v>
      </c>
      <c r="AU72" s="78">
        <f>AS72+AT72</f>
        <v>-584876.82999999984</v>
      </c>
      <c r="AV72" s="78">
        <f>AV8+AV30-AV70</f>
        <v>64184.559999998775</v>
      </c>
      <c r="AW72" s="78">
        <f>AW8+AW30-AW70</f>
        <v>47388</v>
      </c>
      <c r="AX72" s="78">
        <f>AV72+AW72</f>
        <v>111572.55999999878</v>
      </c>
      <c r="AY72" s="78">
        <f>AY8+AY30-AY70</f>
        <v>357138.77</v>
      </c>
      <c r="AZ72" s="78">
        <f>AZ8+AZ30-AZ70</f>
        <v>13897</v>
      </c>
      <c r="BA72" s="78">
        <f>AY72+AZ72</f>
        <v>371035.77</v>
      </c>
      <c r="BB72" s="78">
        <f>BB8+BB30-BB70</f>
        <v>341774.46999999869</v>
      </c>
      <c r="BC72" s="78">
        <f>BC8+BC30-BC70</f>
        <v>61285</v>
      </c>
      <c r="BD72" s="78">
        <f>BB72+BC72</f>
        <v>403059.46999999869</v>
      </c>
      <c r="BE72" s="78">
        <f>BE8+BE30-BE70</f>
        <v>-65479.300000000047</v>
      </c>
      <c r="BF72" s="78">
        <f>BF8+BF30-BF70</f>
        <v>-39775</v>
      </c>
      <c r="BG72" s="78">
        <f>BE72+BF72</f>
        <v>-105254.30000000005</v>
      </c>
      <c r="BH72" s="78">
        <f>BH8+BH30-BH70</f>
        <v>341774.46999999869</v>
      </c>
      <c r="BI72" s="78">
        <f>BI8+BI30-BI70</f>
        <v>61285</v>
      </c>
      <c r="BJ72" s="78">
        <f>BH72+BI72</f>
        <v>403059.46999999869</v>
      </c>
      <c r="BK72" s="78">
        <f>BK8+BK30-BK70</f>
        <v>0</v>
      </c>
      <c r="BL72" s="78">
        <f>BL8+BL30-BL70</f>
        <v>0</v>
      </c>
      <c r="BM72" s="78">
        <f>BK72+BL72</f>
        <v>0</v>
      </c>
      <c r="BN72" s="78">
        <f>BN8+BN30-BN70</f>
        <v>341774.46999999869</v>
      </c>
      <c r="BO72" s="78">
        <f>BO8+BO30-BO70</f>
        <v>61285</v>
      </c>
      <c r="BP72" s="78">
        <f>BN72+BO72</f>
        <v>403059.46999999869</v>
      </c>
      <c r="BQ72" s="78">
        <f>BQ8+BQ30-BQ70</f>
        <v>0</v>
      </c>
      <c r="BR72" s="78">
        <f>BR8+BR30-BR70</f>
        <v>0</v>
      </c>
      <c r="BS72" s="78">
        <f>BQ72+BR72</f>
        <v>0</v>
      </c>
      <c r="BT72" s="78">
        <f>BT8+BT30-BT70</f>
        <v>341774.46999999869</v>
      </c>
      <c r="BU72" s="78">
        <f>BU8+BU30-BU70</f>
        <v>61285</v>
      </c>
      <c r="BV72" s="78">
        <f>BT72+BU72</f>
        <v>403059.46999999869</v>
      </c>
      <c r="BW72" s="79">
        <f>BW8+BW30-BW70</f>
        <v>232840.74999999814</v>
      </c>
      <c r="BX72" s="79">
        <f>BX8+BX30-BX70</f>
        <v>-20127</v>
      </c>
      <c r="BY72" s="79">
        <f>BW72+BX72</f>
        <v>212713.74999999814</v>
      </c>
      <c r="BZ72" s="79">
        <f>BZ8+BZ30-BZ70</f>
        <v>341774.46999999508</v>
      </c>
      <c r="CA72" s="79">
        <f>CA8+CA30-CA70</f>
        <v>61285</v>
      </c>
      <c r="CB72" s="79">
        <f>BZ72+CA72</f>
        <v>403059.46999999508</v>
      </c>
    </row>
    <row r="75" spans="1:82" x14ac:dyDescent="0.2">
      <c r="AM75" s="11"/>
      <c r="CD75" s="85"/>
    </row>
    <row r="76" spans="1:82" x14ac:dyDescent="0.2">
      <c r="Z76" s="11"/>
    </row>
    <row r="77" spans="1:82" x14ac:dyDescent="0.2">
      <c r="P77" s="11">
        <f>P72-P8</f>
        <v>110439</v>
      </c>
      <c r="AS77" s="11"/>
    </row>
  </sheetData>
  <mergeCells count="52">
    <mergeCell ref="AJ7:AL7"/>
    <mergeCell ref="C7:E7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  <mergeCell ref="BT7:BV7"/>
    <mergeCell ref="AM7:AO7"/>
    <mergeCell ref="AP7:AR7"/>
    <mergeCell ref="AS7:AU7"/>
    <mergeCell ref="AV7:AX7"/>
    <mergeCell ref="AY7:BA7"/>
    <mergeCell ref="BB7:BD7"/>
    <mergeCell ref="AP9:AR9"/>
    <mergeCell ref="BW7:BY7"/>
    <mergeCell ref="BZ7:CB7"/>
    <mergeCell ref="C9:E9"/>
    <mergeCell ref="F9:H9"/>
    <mergeCell ref="I9:K9"/>
    <mergeCell ref="L9:N9"/>
    <mergeCell ref="O9:Q9"/>
    <mergeCell ref="R9:T9"/>
    <mergeCell ref="U9:W9"/>
    <mergeCell ref="X9:Z9"/>
    <mergeCell ref="BE7:BG7"/>
    <mergeCell ref="BH7:BJ7"/>
    <mergeCell ref="BK7:BM7"/>
    <mergeCell ref="BN7:BP7"/>
    <mergeCell ref="BQ7:BS7"/>
    <mergeCell ref="AA9:AC9"/>
    <mergeCell ref="AD9:AF9"/>
    <mergeCell ref="AG9:AI9"/>
    <mergeCell ref="AJ9:AL9"/>
    <mergeCell ref="AM9:AO9"/>
    <mergeCell ref="BZ9:CB9"/>
    <mergeCell ref="AS9:AU9"/>
    <mergeCell ref="AV9:AX9"/>
    <mergeCell ref="AY9:BA9"/>
    <mergeCell ref="BB9:BD9"/>
    <mergeCell ref="BE9:BG9"/>
    <mergeCell ref="BH9:BJ9"/>
    <mergeCell ref="BK9:BM9"/>
    <mergeCell ref="BN9:BP9"/>
    <mergeCell ref="BQ9:BS9"/>
    <mergeCell ref="BT9:BV9"/>
    <mergeCell ref="BW9:BY9"/>
  </mergeCells>
  <conditionalFormatting sqref="B5 A1:A1048576 E75:H65536 I82:AL82 C8:D65536 C1:H6 B8:B79 I75:CB76 B81:B65536 E70:CB74 E12:E69 BU12:CB69 E8:CB11 G12:AO13 G14:Q69 S14:W33 S36:W69 S34:T35 V34:W35 Y14:AC69 AE14:AI69 AK14:AO69 AQ12:AU69 AW12:BA69 BC12:BS69">
    <cfRule type="expression" dxfId="105" priority="33" stopIfTrue="1">
      <formula>ISERROR($C$12:$E$73)=TRUE</formula>
    </cfRule>
  </conditionalFormatting>
  <conditionalFormatting sqref="B5 A1:A1048576 D7 C1:H6 G7 I8:I72 J7:J72 K8:L72 M7:M72 N8:O72 P7:P72 Q8:R13 T8:U33 V7:V72 W8:X13 Z8:AA72 AC8:AD13 AF8:AG72 AH7:AH72 AI8:AJ13 AL8:AM72 AN7:AN72 AO8:AP11 AR8:AS72 AT7:AT72 AU8:AV11 AX8:AY72 AZ7:AZ72 BA8:BB11 BC7:BC72 BD8:BE72 BF7:BF72 BG8:BH72 BJ8:BK72 BL7:BL72 BO7:BO72 BP8:BQ72 BR7:BR72 BV8:BW72 BX7:BX72 BY8:BZ72 CA7:CA72 CB8:CB72 BM8:BN72 BI7:BI72 BU7:BU72 BS8:BT11 BS70:BT72 BS12:BS69 B8:H11 B70:H65536 B12:E69 G12:H69 L14:M29 L32:M69 Q70:R72 Q14:Q69 S7:S72 T36:U72 T34:T35 W70:X72 W14:W69 Y7:Y72 AB7:AB72 AC70:AD72 AC14:AC69 AE7:AE72 AI70:AJ72 AI14:AI69 AK7:AK72 AO70:AP72 AO12:AO69 AQ7:AQ72 AU70:AV72 AU12:AU69 AW7:AW72 BA70:BB72 BA12:BA69">
    <cfRule type="expression" dxfId="104" priority="32" stopIfTrue="1">
      <formula>ISERROR($C$12:$E$69)=TRUE</formula>
    </cfRule>
  </conditionalFormatting>
  <conditionalFormatting sqref="BT12:BT15 BT17:BT69">
    <cfRule type="expression" dxfId="103" priority="31" stopIfTrue="1">
      <formula>ISERROR($C$12:$E$73)=TRUE</formula>
    </cfRule>
  </conditionalFormatting>
  <conditionalFormatting sqref="BT12:BT15 BT17:BT69">
    <cfRule type="expression" dxfId="102" priority="30" stopIfTrue="1">
      <formula>ISERROR($C$12:$E$69)=TRUE</formula>
    </cfRule>
  </conditionalFormatting>
  <conditionalFormatting sqref="BT16">
    <cfRule type="expression" dxfId="101" priority="29" stopIfTrue="1">
      <formula>ISERROR(BT16)=TRUE</formula>
    </cfRule>
  </conditionalFormatting>
  <conditionalFormatting sqref="F12:F69">
    <cfRule type="expression" dxfId="100" priority="28" stopIfTrue="1">
      <formula>ISERROR($C$12:$E$73)=TRUE</formula>
    </cfRule>
  </conditionalFormatting>
  <conditionalFormatting sqref="F12:F69">
    <cfRule type="expression" dxfId="99" priority="27" stopIfTrue="1">
      <formula>ISERROR($C$12:$E$69)=TRUE</formula>
    </cfRule>
  </conditionalFormatting>
  <conditionalFormatting sqref="R15:R21 R33:R68 R23:R28 R30:R31">
    <cfRule type="expression" dxfId="98" priority="26" stopIfTrue="1">
      <formula>ISERROR($C$12:$E$73)=TRUE</formula>
    </cfRule>
  </conditionalFormatting>
  <conditionalFormatting sqref="R15:R21 R33:R68 R23:R28 R30:R31">
    <cfRule type="expression" dxfId="97" priority="25" stopIfTrue="1">
      <formula>ISERROR($C$12:$E$69)=TRUE</formula>
    </cfRule>
  </conditionalFormatting>
  <conditionalFormatting sqref="R69">
    <cfRule type="expression" dxfId="96" priority="24" stopIfTrue="1">
      <formula>ISERROR($C$12:$E$73)=TRUE</formula>
    </cfRule>
  </conditionalFormatting>
  <conditionalFormatting sqref="R69">
    <cfRule type="expression" dxfId="95" priority="23" stopIfTrue="1">
      <formula>ISERROR($C$12:$E$69)=TRUE</formula>
    </cfRule>
  </conditionalFormatting>
  <conditionalFormatting sqref="R32">
    <cfRule type="expression" dxfId="94" priority="22" stopIfTrue="1">
      <formula>ISERROR($C$12:$E$73)=TRUE</formula>
    </cfRule>
  </conditionalFormatting>
  <conditionalFormatting sqref="R32">
    <cfRule type="expression" dxfId="93" priority="21" stopIfTrue="1">
      <formula>ISERROR($C$12:$E$69)=TRUE</formula>
    </cfRule>
  </conditionalFormatting>
  <conditionalFormatting sqref="R22">
    <cfRule type="expression" dxfId="92" priority="20" stopIfTrue="1">
      <formula>ISERROR($C$12:$E$73)=TRUE</formula>
    </cfRule>
  </conditionalFormatting>
  <conditionalFormatting sqref="R22">
    <cfRule type="expression" dxfId="91" priority="19" stopIfTrue="1">
      <formula>ISERROR($C$12:$E$69)=TRUE</formula>
    </cfRule>
  </conditionalFormatting>
  <conditionalFormatting sqref="R29">
    <cfRule type="expression" dxfId="90" priority="18" stopIfTrue="1">
      <formula>ISERROR($C$12:$E$73)=TRUE</formula>
    </cfRule>
  </conditionalFormatting>
  <conditionalFormatting sqref="R29">
    <cfRule type="expression" dxfId="89" priority="17" stopIfTrue="1">
      <formula>ISERROR($C$12:$E$69)=TRUE</formula>
    </cfRule>
  </conditionalFormatting>
  <conditionalFormatting sqref="R14">
    <cfRule type="expression" dxfId="88" priority="16" stopIfTrue="1">
      <formula>ISERROR($C$12:$E$73)=TRUE</formula>
    </cfRule>
  </conditionalFormatting>
  <conditionalFormatting sqref="R14">
    <cfRule type="expression" dxfId="87" priority="15" stopIfTrue="1">
      <formula>ISERROR($C$12:$E$69)=TRUE</formula>
    </cfRule>
  </conditionalFormatting>
  <conditionalFormatting sqref="U34:U35">
    <cfRule type="expression" dxfId="86" priority="14" stopIfTrue="1">
      <formula>ISERROR($C$12:$E$73)=TRUE</formula>
    </cfRule>
  </conditionalFormatting>
  <conditionalFormatting sqref="U34:U35">
    <cfRule type="expression" dxfId="85" priority="13" stopIfTrue="1">
      <formula>ISERROR($C$12:$E$69)=TRUE</formula>
    </cfRule>
  </conditionalFormatting>
  <conditionalFormatting sqref="X14:X69">
    <cfRule type="expression" dxfId="84" priority="12" stopIfTrue="1">
      <formula>ISERROR($C$12:$E$73)=TRUE</formula>
    </cfRule>
  </conditionalFormatting>
  <conditionalFormatting sqref="X14:X69">
    <cfRule type="expression" dxfId="83" priority="11" stopIfTrue="1">
      <formula>ISERROR($C$12:$E$69)=TRUE</formula>
    </cfRule>
  </conditionalFormatting>
  <conditionalFormatting sqref="AD14:AD69">
    <cfRule type="expression" dxfId="82" priority="10" stopIfTrue="1">
      <formula>ISERROR($C$12:$E$73)=TRUE</formula>
    </cfRule>
  </conditionalFormatting>
  <conditionalFormatting sqref="AD14:AD69">
    <cfRule type="expression" dxfId="81" priority="9" stopIfTrue="1">
      <formula>ISERROR($C$12:$E$69)=TRUE</formula>
    </cfRule>
  </conditionalFormatting>
  <conditionalFormatting sqref="AJ14:AJ69">
    <cfRule type="expression" dxfId="80" priority="8" stopIfTrue="1">
      <formula>ISERROR($C$12:$E$73)=TRUE</formula>
    </cfRule>
  </conditionalFormatting>
  <conditionalFormatting sqref="AJ14:AJ69">
    <cfRule type="expression" dxfId="79" priority="7" stopIfTrue="1">
      <formula>ISERROR($C$12:$E$69)=TRUE</formula>
    </cfRule>
  </conditionalFormatting>
  <conditionalFormatting sqref="AP12:AP69">
    <cfRule type="expression" dxfId="78" priority="6" stopIfTrue="1">
      <formula>ISERROR($C$12:$E$73)=TRUE</formula>
    </cfRule>
  </conditionalFormatting>
  <conditionalFormatting sqref="AP12:AP69">
    <cfRule type="expression" dxfId="77" priority="5" stopIfTrue="1">
      <formula>ISERROR($C$12:$E$69)=TRUE</formula>
    </cfRule>
  </conditionalFormatting>
  <conditionalFormatting sqref="AV12:AV69">
    <cfRule type="expression" dxfId="76" priority="4" stopIfTrue="1">
      <formula>ISERROR($C$12:$E$73)=TRUE</formula>
    </cfRule>
  </conditionalFormatting>
  <conditionalFormatting sqref="AV12:AV69">
    <cfRule type="expression" dxfId="75" priority="3" stopIfTrue="1">
      <formula>ISERROR($C$12:$E$69)=TRUE</formula>
    </cfRule>
  </conditionalFormatting>
  <conditionalFormatting sqref="BB12:BB69">
    <cfRule type="expression" dxfId="35" priority="2" stopIfTrue="1">
      <formula>ISERROR($C$12:$E$73)=TRUE</formula>
    </cfRule>
  </conditionalFormatting>
  <conditionalFormatting sqref="BB12:BB69">
    <cfRule type="expression" dxfId="34" priority="1" stopIfTrue="1">
      <formula>ISERROR($C$12:$E$69)=TRUE</formula>
    </cfRule>
  </conditionalFormatting>
  <pageMargins left="0.75" right="0.75" top="0.17" bottom="0.28000000000000003" header="0.5" footer="0.5"/>
  <pageSetup paperSize="9" scale="59" fitToWidth="2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77"/>
  <sheetViews>
    <sheetView topLeftCell="A43" workbookViewId="0">
      <pane xSplit="2" topLeftCell="AY1" activePane="topRight" state="frozen"/>
      <selection pane="topRight" activeCell="BC27" sqref="BC27"/>
    </sheetView>
  </sheetViews>
  <sheetFormatPr defaultRowHeight="12.75" outlineLevelRow="2" x14ac:dyDescent="0.2"/>
  <cols>
    <col min="2" max="2" width="41.85546875" bestFit="1" customWidth="1"/>
    <col min="3" max="5" width="9.140625" hidden="1" customWidth="1"/>
    <col min="6" max="8" width="10.42578125" bestFit="1" customWidth="1"/>
    <col min="9" max="9" width="9.7109375" hidden="1" customWidth="1"/>
    <col min="10" max="11" width="10.42578125" hidden="1" customWidth="1"/>
    <col min="12" max="12" width="9.7109375" bestFit="1" customWidth="1"/>
    <col min="13" max="14" width="10.42578125" bestFit="1" customWidth="1"/>
    <col min="15" max="17" width="10.42578125" hidden="1" customWidth="1"/>
    <col min="18" max="20" width="10.42578125" bestFit="1" customWidth="1"/>
    <col min="21" max="21" width="11.42578125" hidden="1" customWidth="1"/>
    <col min="22" max="22" width="7.5703125" hidden="1" customWidth="1"/>
    <col min="23" max="23" width="11.42578125" hidden="1" customWidth="1"/>
    <col min="24" max="26" width="11.42578125" bestFit="1" customWidth="1"/>
    <col min="27" max="27" width="9.7109375" hidden="1" customWidth="1"/>
    <col min="28" max="28" width="7.5703125" hidden="1" customWidth="1"/>
    <col min="29" max="29" width="9.140625" hidden="1" customWidth="1"/>
    <col min="30" max="32" width="11.42578125" bestFit="1" customWidth="1"/>
    <col min="33" max="33" width="9.7109375" hidden="1" customWidth="1"/>
    <col min="34" max="34" width="7.5703125" hidden="1" customWidth="1"/>
    <col min="35" max="35" width="9.140625" hidden="1" customWidth="1"/>
    <col min="36" max="38" width="11.42578125" bestFit="1" customWidth="1"/>
    <col min="39" max="39" width="9.7109375" hidden="1" customWidth="1"/>
    <col min="40" max="40" width="8.140625" hidden="1" customWidth="1"/>
    <col min="41" max="41" width="9.140625" hidden="1" customWidth="1"/>
    <col min="42" max="44" width="11.42578125" bestFit="1" customWidth="1"/>
    <col min="45" max="45" width="9.7109375" hidden="1" customWidth="1"/>
    <col min="46" max="46" width="8.140625" hidden="1" customWidth="1"/>
    <col min="47" max="47" width="9.140625" hidden="1" customWidth="1"/>
    <col min="48" max="49" width="11.42578125" bestFit="1" customWidth="1"/>
    <col min="50" max="50" width="11.42578125" customWidth="1"/>
    <col min="51" max="54" width="10" customWidth="1"/>
    <col min="55" max="55" width="10.42578125" bestFit="1" customWidth="1"/>
    <col min="56" max="56" width="11.42578125" bestFit="1" customWidth="1"/>
    <col min="57" max="57" width="9.7109375" hidden="1" customWidth="1"/>
    <col min="58" max="58" width="2.42578125" hidden="1" customWidth="1"/>
    <col min="59" max="59" width="5.85546875" hidden="1" customWidth="1"/>
    <col min="60" max="61" width="10.42578125" bestFit="1" customWidth="1"/>
    <col min="62" max="62" width="11.42578125" bestFit="1" customWidth="1"/>
    <col min="63" max="63" width="9.7109375" hidden="1" customWidth="1"/>
    <col min="64" max="64" width="2.42578125" hidden="1" customWidth="1"/>
    <col min="65" max="65" width="5.85546875" hidden="1" customWidth="1"/>
    <col min="66" max="67" width="10.42578125" bestFit="1" customWidth="1"/>
    <col min="68" max="68" width="11.42578125" bestFit="1" customWidth="1"/>
    <col min="69" max="69" width="9.7109375" hidden="1" customWidth="1"/>
    <col min="70" max="70" width="2.42578125" hidden="1" customWidth="1"/>
    <col min="71" max="71" width="5.85546875" hidden="1" customWidth="1"/>
    <col min="72" max="73" width="10.42578125" bestFit="1" customWidth="1"/>
    <col min="74" max="74" width="11.42578125" bestFit="1" customWidth="1"/>
    <col min="75" max="75" width="11.28515625" hidden="1" customWidth="1"/>
    <col min="76" max="76" width="9.7109375" hidden="1" customWidth="1"/>
    <col min="77" max="77" width="11.28515625" hidden="1" customWidth="1"/>
    <col min="78" max="79" width="10.7109375" bestFit="1" customWidth="1"/>
    <col min="80" max="80" width="11.7109375" bestFit="1" customWidth="1"/>
  </cols>
  <sheetData>
    <row r="1" spans="1:80" s="5" customFormat="1" ht="13.5" outlineLevel="1" x14ac:dyDescent="0.25">
      <c r="A1" s="1"/>
      <c r="B1" s="2" t="s">
        <v>0</v>
      </c>
      <c r="C1" s="3"/>
      <c r="D1" s="3"/>
      <c r="E1" s="4"/>
      <c r="F1" s="3"/>
      <c r="G1" s="3"/>
      <c r="H1" s="4"/>
    </row>
    <row r="2" spans="1:80" s="5" customFormat="1" ht="13.5" outlineLevel="1" x14ac:dyDescent="0.25">
      <c r="A2" s="1"/>
      <c r="B2" s="2" t="s">
        <v>1</v>
      </c>
      <c r="C2" s="6"/>
      <c r="D2" s="6"/>
      <c r="E2" s="4"/>
      <c r="F2" s="6"/>
      <c r="G2" s="6"/>
      <c r="H2" s="4"/>
    </row>
    <row r="3" spans="1:80" s="5" customFormat="1" ht="13.5" outlineLevel="1" x14ac:dyDescent="0.25">
      <c r="A3" s="1"/>
      <c r="B3" s="2" t="s">
        <v>2</v>
      </c>
      <c r="C3" s="6"/>
      <c r="D3" s="6"/>
      <c r="E3" s="4"/>
      <c r="F3" s="6"/>
      <c r="G3" s="6"/>
      <c r="H3" s="4"/>
    </row>
    <row r="4" spans="1:80" s="5" customFormat="1" ht="13.5" outlineLevel="1" x14ac:dyDescent="0.25">
      <c r="A4" s="7"/>
      <c r="B4" s="2" t="s">
        <v>3</v>
      </c>
      <c r="C4" s="6"/>
      <c r="D4" s="6"/>
      <c r="E4" s="4"/>
      <c r="F4" s="6"/>
      <c r="G4" s="6"/>
      <c r="H4" s="4"/>
    </row>
    <row r="5" spans="1:80" s="5" customFormat="1" ht="18" x14ac:dyDescent="0.25">
      <c r="A5" s="8" t="s">
        <v>4</v>
      </c>
      <c r="B5" s="9"/>
      <c r="C5" s="9"/>
      <c r="D5" s="9"/>
      <c r="E5" s="9"/>
      <c r="F5" s="9"/>
      <c r="G5" s="9"/>
      <c r="H5" s="9"/>
      <c r="N5" s="10"/>
      <c r="AK5" s="11"/>
      <c r="AP5" s="10"/>
      <c r="AQ5" s="10"/>
      <c r="AR5" s="10"/>
    </row>
    <row r="6" spans="1:80" s="15" customFormat="1" x14ac:dyDescent="0.2">
      <c r="A6" s="12"/>
      <c r="B6" s="13"/>
      <c r="C6" s="14"/>
      <c r="D6" s="14"/>
      <c r="E6" s="14"/>
      <c r="F6" s="14"/>
      <c r="G6" s="14"/>
      <c r="H6" s="14"/>
      <c r="N6" s="16"/>
    </row>
    <row r="7" spans="1:80" s="5" customFormat="1" ht="19.5" x14ac:dyDescent="0.2">
      <c r="A7" s="17"/>
      <c r="B7" s="18">
        <v>2025</v>
      </c>
      <c r="C7" s="185" t="s">
        <v>5</v>
      </c>
      <c r="D7" s="186"/>
      <c r="E7" s="187"/>
      <c r="F7" s="185" t="s">
        <v>5</v>
      </c>
      <c r="G7" s="186"/>
      <c r="H7" s="187"/>
      <c r="I7" s="188" t="s">
        <v>6</v>
      </c>
      <c r="J7" s="189"/>
      <c r="K7" s="190"/>
      <c r="L7" s="188" t="s">
        <v>6</v>
      </c>
      <c r="M7" s="189"/>
      <c r="N7" s="190"/>
      <c r="O7" s="191" t="s">
        <v>7</v>
      </c>
      <c r="P7" s="192"/>
      <c r="Q7" s="193"/>
      <c r="R7" s="191" t="s">
        <v>7</v>
      </c>
      <c r="S7" s="192"/>
      <c r="T7" s="193"/>
      <c r="U7" s="194" t="s">
        <v>8</v>
      </c>
      <c r="V7" s="195"/>
      <c r="W7" s="196"/>
      <c r="X7" s="194" t="s">
        <v>8</v>
      </c>
      <c r="Y7" s="195"/>
      <c r="Z7" s="196"/>
      <c r="AA7" s="185" t="s">
        <v>9</v>
      </c>
      <c r="AB7" s="186"/>
      <c r="AC7" s="187"/>
      <c r="AD7" s="185" t="s">
        <v>9</v>
      </c>
      <c r="AE7" s="186"/>
      <c r="AF7" s="187"/>
      <c r="AG7" s="188" t="s">
        <v>10</v>
      </c>
      <c r="AH7" s="189"/>
      <c r="AI7" s="190"/>
      <c r="AJ7" s="188" t="s">
        <v>10</v>
      </c>
      <c r="AK7" s="189"/>
      <c r="AL7" s="190"/>
      <c r="AM7" s="191" t="s">
        <v>11</v>
      </c>
      <c r="AN7" s="192"/>
      <c r="AO7" s="193"/>
      <c r="AP7" s="191" t="s">
        <v>11</v>
      </c>
      <c r="AQ7" s="192"/>
      <c r="AR7" s="193"/>
      <c r="AS7" s="194" t="s">
        <v>12</v>
      </c>
      <c r="AT7" s="195"/>
      <c r="AU7" s="196"/>
      <c r="AV7" s="194" t="s">
        <v>12</v>
      </c>
      <c r="AW7" s="195"/>
      <c r="AX7" s="196"/>
      <c r="AY7" s="185" t="s">
        <v>13</v>
      </c>
      <c r="AZ7" s="186"/>
      <c r="BA7" s="187"/>
      <c r="BB7" s="185" t="s">
        <v>13</v>
      </c>
      <c r="BC7" s="186"/>
      <c r="BD7" s="187"/>
      <c r="BE7" s="188" t="s">
        <v>14</v>
      </c>
      <c r="BF7" s="189"/>
      <c r="BG7" s="190"/>
      <c r="BH7" s="188" t="s">
        <v>14</v>
      </c>
      <c r="BI7" s="189"/>
      <c r="BJ7" s="190"/>
      <c r="BK7" s="191" t="s">
        <v>15</v>
      </c>
      <c r="BL7" s="192"/>
      <c r="BM7" s="193"/>
      <c r="BN7" s="191" t="s">
        <v>15</v>
      </c>
      <c r="BO7" s="192"/>
      <c r="BP7" s="193"/>
      <c r="BQ7" s="194" t="s">
        <v>16</v>
      </c>
      <c r="BR7" s="195"/>
      <c r="BS7" s="196"/>
      <c r="BT7" s="194" t="s">
        <v>16</v>
      </c>
      <c r="BU7" s="195"/>
      <c r="BV7" s="196"/>
      <c r="BW7" s="185" t="s">
        <v>17</v>
      </c>
      <c r="BX7" s="186"/>
      <c r="BY7" s="187"/>
      <c r="BZ7" s="185" t="s">
        <v>91</v>
      </c>
      <c r="CA7" s="186"/>
      <c r="CB7" s="186"/>
    </row>
    <row r="8" spans="1:80" s="15" customFormat="1" ht="12.75" customHeight="1" x14ac:dyDescent="0.2">
      <c r="A8" s="19"/>
      <c r="B8" s="20" t="s">
        <v>18</v>
      </c>
      <c r="C8" s="21"/>
      <c r="D8" s="21"/>
      <c r="E8" s="22">
        <f>C8+D8</f>
        <v>0</v>
      </c>
      <c r="F8" s="21">
        <v>0</v>
      </c>
      <c r="G8" s="21">
        <v>0</v>
      </c>
      <c r="H8" s="22">
        <f>F8+G8</f>
        <v>0</v>
      </c>
      <c r="I8" s="21">
        <v>6935.1499999997322</v>
      </c>
      <c r="J8" s="21">
        <v>70184</v>
      </c>
      <c r="K8" s="22">
        <f>I8+J8</f>
        <v>77119.149999999732</v>
      </c>
      <c r="L8" s="22">
        <f>F72</f>
        <v>0</v>
      </c>
      <c r="M8" s="22">
        <f>G72</f>
        <v>0</v>
      </c>
      <c r="N8" s="22">
        <f>L8+M8</f>
        <v>0</v>
      </c>
      <c r="O8" s="21">
        <v>17482.209999999031</v>
      </c>
      <c r="P8" s="21">
        <v>68137</v>
      </c>
      <c r="Q8" s="22">
        <f>O8+P8</f>
        <v>85619.209999999031</v>
      </c>
      <c r="R8" s="22">
        <f>L72</f>
        <v>0</v>
      </c>
      <c r="S8" s="22">
        <f>M72</f>
        <v>0</v>
      </c>
      <c r="T8" s="22">
        <f>R8+S8</f>
        <v>0</v>
      </c>
      <c r="U8" s="21">
        <v>289848.11999999871</v>
      </c>
      <c r="V8" s="21"/>
      <c r="W8" s="22">
        <f>U8+V8</f>
        <v>289848.11999999871</v>
      </c>
      <c r="X8" s="22">
        <f>R72</f>
        <v>24271.25</v>
      </c>
      <c r="Y8" s="22">
        <f>S72</f>
        <v>0</v>
      </c>
      <c r="Z8" s="22">
        <f>X8+Y8</f>
        <v>24271.25</v>
      </c>
      <c r="AA8" s="21"/>
      <c r="AB8" s="21"/>
      <c r="AC8" s="22">
        <f>AA8+AB8</f>
        <v>0</v>
      </c>
      <c r="AD8" s="22">
        <f>X72</f>
        <v>10227.899999999994</v>
      </c>
      <c r="AE8" s="22">
        <f>Y72</f>
        <v>0</v>
      </c>
      <c r="AF8" s="22">
        <f>AD8+AE8</f>
        <v>10227.899999999994</v>
      </c>
      <c r="AG8" s="21"/>
      <c r="AH8" s="21"/>
      <c r="AI8" s="22">
        <f>AG8+AH8</f>
        <v>0</v>
      </c>
      <c r="AJ8" s="22">
        <f>AD72</f>
        <v>6367.2599999999948</v>
      </c>
      <c r="AK8" s="22">
        <f>AE72</f>
        <v>0</v>
      </c>
      <c r="AL8" s="22">
        <f>AJ8+AK8</f>
        <v>6367.2599999999948</v>
      </c>
      <c r="AM8" s="21"/>
      <c r="AN8" s="21"/>
      <c r="AO8" s="22">
        <f>AM8+AN8</f>
        <v>0</v>
      </c>
      <c r="AP8" s="22">
        <f>AJ72</f>
        <v>96095.449999999721</v>
      </c>
      <c r="AQ8" s="22">
        <f>AK72</f>
        <v>0</v>
      </c>
      <c r="AR8" s="22">
        <f>AP8+AQ8</f>
        <v>96095.449999999721</v>
      </c>
      <c r="AS8" s="21"/>
      <c r="AT8" s="21"/>
      <c r="AU8" s="22">
        <f>AS8+AT8</f>
        <v>0</v>
      </c>
      <c r="AV8" s="22">
        <f>AP72</f>
        <v>65435.449999999721</v>
      </c>
      <c r="AW8" s="22">
        <f>AQ72</f>
        <v>0</v>
      </c>
      <c r="AX8" s="22">
        <f>AV8+AW8</f>
        <v>65435.449999999721</v>
      </c>
      <c r="AY8" s="21"/>
      <c r="AZ8" s="21"/>
      <c r="BA8" s="22">
        <f>AY8+AZ8</f>
        <v>0</v>
      </c>
      <c r="BB8" s="22">
        <f>AV72</f>
        <v>3956.9499999997206</v>
      </c>
      <c r="BC8" s="22">
        <f>AW72</f>
        <v>0</v>
      </c>
      <c r="BD8" s="22">
        <f>BB8+BC8</f>
        <v>3956.9499999997206</v>
      </c>
      <c r="BE8" s="21"/>
      <c r="BF8" s="21"/>
      <c r="BG8" s="22">
        <f>BE8+BF8</f>
        <v>0</v>
      </c>
      <c r="BH8" s="22">
        <f>BB72</f>
        <v>207019.44999999972</v>
      </c>
      <c r="BI8" s="22">
        <f>BC72</f>
        <v>0</v>
      </c>
      <c r="BJ8" s="22">
        <f>BH8+BI8</f>
        <v>207019.44999999972</v>
      </c>
      <c r="BK8" s="21"/>
      <c r="BL8" s="21"/>
      <c r="BM8" s="22">
        <f>BK8+BL8</f>
        <v>0</v>
      </c>
      <c r="BN8" s="22">
        <f>BH72</f>
        <v>207019.44999999972</v>
      </c>
      <c r="BO8" s="22">
        <f>BI72</f>
        <v>0</v>
      </c>
      <c r="BP8" s="22">
        <f>BN8+BO8</f>
        <v>207019.44999999972</v>
      </c>
      <c r="BQ8" s="21"/>
      <c r="BR8" s="21"/>
      <c r="BS8" s="22">
        <f>BQ8+BR8</f>
        <v>0</v>
      </c>
      <c r="BT8" s="22">
        <f>BN72</f>
        <v>207019.44999999972</v>
      </c>
      <c r="BU8" s="22">
        <f>BO72</f>
        <v>0</v>
      </c>
      <c r="BV8" s="22">
        <f>BT8+BU8</f>
        <v>207019.44999999972</v>
      </c>
      <c r="BW8" s="22"/>
      <c r="BX8" s="22"/>
      <c r="BY8" s="22">
        <f>BW8+BX8</f>
        <v>0</v>
      </c>
      <c r="BZ8" s="22">
        <f>F8</f>
        <v>0</v>
      </c>
      <c r="CA8" s="22">
        <f>G8</f>
        <v>0</v>
      </c>
      <c r="CB8" s="22">
        <f>BZ8+CA8</f>
        <v>0</v>
      </c>
    </row>
    <row r="9" spans="1:80" s="5" customFormat="1" ht="15" x14ac:dyDescent="0.2">
      <c r="A9" s="23"/>
      <c r="B9" s="24"/>
      <c r="C9" s="184" t="s">
        <v>19</v>
      </c>
      <c r="D9" s="184"/>
      <c r="E9" s="184"/>
      <c r="F9" s="184" t="s">
        <v>20</v>
      </c>
      <c r="G9" s="184"/>
      <c r="H9" s="184"/>
      <c r="I9" s="184" t="s">
        <v>19</v>
      </c>
      <c r="J9" s="184"/>
      <c r="K9" s="184"/>
      <c r="L9" s="184" t="s">
        <v>20</v>
      </c>
      <c r="M9" s="184"/>
      <c r="N9" s="184"/>
      <c r="O9" s="184" t="s">
        <v>19</v>
      </c>
      <c r="P9" s="184"/>
      <c r="Q9" s="184"/>
      <c r="R9" s="184" t="s">
        <v>20</v>
      </c>
      <c r="S9" s="184"/>
      <c r="T9" s="184"/>
      <c r="U9" s="184" t="s">
        <v>19</v>
      </c>
      <c r="V9" s="184"/>
      <c r="W9" s="184"/>
      <c r="X9" s="184" t="s">
        <v>20</v>
      </c>
      <c r="Y9" s="184"/>
      <c r="Z9" s="184"/>
      <c r="AA9" s="184" t="s">
        <v>19</v>
      </c>
      <c r="AB9" s="184"/>
      <c r="AC9" s="184"/>
      <c r="AD9" s="184" t="s">
        <v>20</v>
      </c>
      <c r="AE9" s="184"/>
      <c r="AF9" s="184"/>
      <c r="AG9" s="184" t="s">
        <v>19</v>
      </c>
      <c r="AH9" s="184"/>
      <c r="AI9" s="184"/>
      <c r="AJ9" s="184" t="s">
        <v>20</v>
      </c>
      <c r="AK9" s="184"/>
      <c r="AL9" s="184"/>
      <c r="AM9" s="184" t="s">
        <v>19</v>
      </c>
      <c r="AN9" s="184"/>
      <c r="AO9" s="184"/>
      <c r="AP9" s="184" t="s">
        <v>20</v>
      </c>
      <c r="AQ9" s="184"/>
      <c r="AR9" s="184"/>
      <c r="AS9" s="184" t="s">
        <v>19</v>
      </c>
      <c r="AT9" s="184"/>
      <c r="AU9" s="184"/>
      <c r="AV9" s="184" t="s">
        <v>20</v>
      </c>
      <c r="AW9" s="184"/>
      <c r="AX9" s="184"/>
      <c r="AY9" s="184" t="s">
        <v>19</v>
      </c>
      <c r="AZ9" s="184"/>
      <c r="BA9" s="184"/>
      <c r="BB9" s="184" t="s">
        <v>20</v>
      </c>
      <c r="BC9" s="184"/>
      <c r="BD9" s="184"/>
      <c r="BE9" s="184" t="s">
        <v>19</v>
      </c>
      <c r="BF9" s="184"/>
      <c r="BG9" s="184"/>
      <c r="BH9" s="184" t="s">
        <v>20</v>
      </c>
      <c r="BI9" s="184"/>
      <c r="BJ9" s="184"/>
      <c r="BK9" s="184" t="s">
        <v>19</v>
      </c>
      <c r="BL9" s="184"/>
      <c r="BM9" s="184"/>
      <c r="BN9" s="184" t="s">
        <v>20</v>
      </c>
      <c r="BO9" s="184"/>
      <c r="BP9" s="184"/>
      <c r="BQ9" s="184" t="s">
        <v>19</v>
      </c>
      <c r="BR9" s="184"/>
      <c r="BS9" s="184"/>
      <c r="BT9" s="184" t="s">
        <v>20</v>
      </c>
      <c r="BU9" s="184"/>
      <c r="BV9" s="184"/>
      <c r="BW9" s="184" t="s">
        <v>19</v>
      </c>
      <c r="BX9" s="184"/>
      <c r="BY9" s="184"/>
      <c r="BZ9" s="184" t="s">
        <v>20</v>
      </c>
      <c r="CA9" s="184"/>
      <c r="CB9" s="184"/>
    </row>
    <row r="10" spans="1:80" s="5" customFormat="1" ht="21" x14ac:dyDescent="0.2">
      <c r="A10" s="25" t="s">
        <v>21</v>
      </c>
      <c r="B10" s="26" t="s">
        <v>22</v>
      </c>
      <c r="C10" s="27" t="s">
        <v>23</v>
      </c>
      <c r="D10" s="27" t="s">
        <v>24</v>
      </c>
      <c r="E10" s="27" t="s">
        <v>25</v>
      </c>
      <c r="F10" s="27" t="s">
        <v>23</v>
      </c>
      <c r="G10" s="27" t="s">
        <v>24</v>
      </c>
      <c r="H10" s="27" t="s">
        <v>25</v>
      </c>
      <c r="I10" s="27" t="s">
        <v>23</v>
      </c>
      <c r="J10" s="27" t="s">
        <v>24</v>
      </c>
      <c r="K10" s="27" t="s">
        <v>25</v>
      </c>
      <c r="L10" s="27" t="s">
        <v>23</v>
      </c>
      <c r="M10" s="27" t="s">
        <v>24</v>
      </c>
      <c r="N10" s="27" t="s">
        <v>25</v>
      </c>
      <c r="O10" s="27" t="s">
        <v>23</v>
      </c>
      <c r="P10" s="27" t="s">
        <v>24</v>
      </c>
      <c r="Q10" s="27" t="s">
        <v>25</v>
      </c>
      <c r="R10" s="27" t="s">
        <v>23</v>
      </c>
      <c r="S10" s="27" t="s">
        <v>24</v>
      </c>
      <c r="T10" s="27" t="s">
        <v>25</v>
      </c>
      <c r="U10" s="27" t="s">
        <v>23</v>
      </c>
      <c r="V10" s="27" t="s">
        <v>24</v>
      </c>
      <c r="W10" s="27" t="s">
        <v>25</v>
      </c>
      <c r="X10" s="27" t="s">
        <v>23</v>
      </c>
      <c r="Y10" s="27" t="s">
        <v>24</v>
      </c>
      <c r="Z10" s="27" t="s">
        <v>25</v>
      </c>
      <c r="AA10" s="27" t="s">
        <v>23</v>
      </c>
      <c r="AB10" s="27" t="s">
        <v>24</v>
      </c>
      <c r="AC10" s="27" t="s">
        <v>25</v>
      </c>
      <c r="AD10" s="27" t="s">
        <v>23</v>
      </c>
      <c r="AE10" s="27" t="s">
        <v>24</v>
      </c>
      <c r="AF10" s="27" t="s">
        <v>25</v>
      </c>
      <c r="AG10" s="27" t="s">
        <v>23</v>
      </c>
      <c r="AH10" s="27" t="s">
        <v>24</v>
      </c>
      <c r="AI10" s="27" t="s">
        <v>25</v>
      </c>
      <c r="AJ10" s="27" t="s">
        <v>23</v>
      </c>
      <c r="AK10" s="27" t="s">
        <v>24</v>
      </c>
      <c r="AL10" s="27" t="s">
        <v>25</v>
      </c>
      <c r="AM10" s="27" t="s">
        <v>23</v>
      </c>
      <c r="AN10" s="27" t="s">
        <v>24</v>
      </c>
      <c r="AO10" s="27" t="s">
        <v>25</v>
      </c>
      <c r="AP10" s="27" t="s">
        <v>23</v>
      </c>
      <c r="AQ10" s="27" t="s">
        <v>24</v>
      </c>
      <c r="AR10" s="27" t="s">
        <v>25</v>
      </c>
      <c r="AS10" s="27" t="s">
        <v>23</v>
      </c>
      <c r="AT10" s="27" t="s">
        <v>24</v>
      </c>
      <c r="AU10" s="27" t="s">
        <v>25</v>
      </c>
      <c r="AV10" s="27" t="s">
        <v>23</v>
      </c>
      <c r="AW10" s="27" t="s">
        <v>24</v>
      </c>
      <c r="AX10" s="27" t="s">
        <v>25</v>
      </c>
      <c r="AY10" s="27" t="s">
        <v>23</v>
      </c>
      <c r="AZ10" s="27" t="s">
        <v>24</v>
      </c>
      <c r="BA10" s="27" t="s">
        <v>25</v>
      </c>
      <c r="BB10" s="27" t="s">
        <v>23</v>
      </c>
      <c r="BC10" s="27" t="s">
        <v>24</v>
      </c>
      <c r="BD10" s="27" t="s">
        <v>25</v>
      </c>
      <c r="BE10" s="27" t="s">
        <v>23</v>
      </c>
      <c r="BF10" s="27" t="s">
        <v>24</v>
      </c>
      <c r="BG10" s="27" t="s">
        <v>25</v>
      </c>
      <c r="BH10" s="27" t="s">
        <v>23</v>
      </c>
      <c r="BI10" s="27" t="s">
        <v>24</v>
      </c>
      <c r="BJ10" s="27" t="s">
        <v>25</v>
      </c>
      <c r="BK10" s="27" t="s">
        <v>23</v>
      </c>
      <c r="BL10" s="27" t="s">
        <v>24</v>
      </c>
      <c r="BM10" s="27" t="s">
        <v>25</v>
      </c>
      <c r="BN10" s="27" t="s">
        <v>23</v>
      </c>
      <c r="BO10" s="27" t="s">
        <v>24</v>
      </c>
      <c r="BP10" s="27" t="s">
        <v>25</v>
      </c>
      <c r="BQ10" s="27" t="s">
        <v>23</v>
      </c>
      <c r="BR10" s="27" t="s">
        <v>24</v>
      </c>
      <c r="BS10" s="27" t="s">
        <v>25</v>
      </c>
      <c r="BT10" s="27" t="s">
        <v>23</v>
      </c>
      <c r="BU10" s="27" t="s">
        <v>24</v>
      </c>
      <c r="BV10" s="27" t="s">
        <v>25</v>
      </c>
      <c r="BW10" s="27" t="s">
        <v>23</v>
      </c>
      <c r="BX10" s="27" t="s">
        <v>24</v>
      </c>
      <c r="BY10" s="27" t="s">
        <v>25</v>
      </c>
      <c r="BZ10" s="28" t="s">
        <v>23</v>
      </c>
      <c r="CA10" s="28" t="s">
        <v>24</v>
      </c>
      <c r="CB10" s="28" t="s">
        <v>25</v>
      </c>
    </row>
    <row r="11" spans="1:80" s="15" customFormat="1" ht="15" x14ac:dyDescent="0.2">
      <c r="A11" s="29" t="s">
        <v>26</v>
      </c>
      <c r="B11" s="29"/>
      <c r="C11" s="30"/>
      <c r="D11" s="30"/>
      <c r="E11" s="31"/>
      <c r="F11" s="30"/>
      <c r="G11" s="30"/>
      <c r="H11" s="31"/>
      <c r="I11" s="30"/>
      <c r="J11" s="30"/>
      <c r="K11" s="31"/>
      <c r="L11" s="30"/>
      <c r="M11" s="30"/>
      <c r="N11" s="31"/>
      <c r="O11" s="30"/>
      <c r="P11" s="30"/>
      <c r="Q11" s="31"/>
      <c r="R11" s="30"/>
      <c r="S11" s="30"/>
      <c r="T11" s="31"/>
      <c r="U11" s="30"/>
      <c r="V11" s="30"/>
      <c r="W11" s="31"/>
      <c r="X11" s="30"/>
      <c r="Y11" s="30"/>
      <c r="Z11" s="31"/>
      <c r="AA11" s="30"/>
      <c r="AB11" s="30"/>
      <c r="AC11" s="31"/>
      <c r="AD11" s="30"/>
      <c r="AE11" s="30"/>
      <c r="AF11" s="31"/>
      <c r="AG11" s="30"/>
      <c r="AH11" s="30"/>
      <c r="AI11" s="31"/>
      <c r="AJ11" s="30"/>
      <c r="AK11" s="30"/>
      <c r="AL11" s="31"/>
      <c r="AM11" s="30"/>
      <c r="AN11" s="30"/>
      <c r="AO11" s="31"/>
      <c r="AP11" s="30"/>
      <c r="AQ11" s="30"/>
      <c r="AR11" s="31"/>
      <c r="AS11" s="30"/>
      <c r="AT11" s="30"/>
      <c r="AU11" s="31"/>
      <c r="AV11" s="30"/>
      <c r="AW11" s="30"/>
      <c r="AX11" s="31"/>
      <c r="AY11" s="30"/>
      <c r="AZ11" s="30"/>
      <c r="BA11" s="31"/>
      <c r="BB11" s="30"/>
      <c r="BC11" s="30"/>
      <c r="BD11" s="31"/>
      <c r="BE11" s="30"/>
      <c r="BF11" s="30"/>
      <c r="BG11" s="31"/>
      <c r="BH11" s="30"/>
      <c r="BI11" s="30"/>
      <c r="BJ11" s="31"/>
      <c r="BK11" s="30"/>
      <c r="BL11" s="30"/>
      <c r="BM11" s="31"/>
      <c r="BN11" s="30"/>
      <c r="BO11" s="30"/>
      <c r="BP11" s="31"/>
      <c r="BQ11" s="30"/>
      <c r="BR11" s="30"/>
      <c r="BS11" s="31"/>
      <c r="BT11" s="30"/>
      <c r="BU11" s="30"/>
      <c r="BV11" s="31"/>
      <c r="BW11" s="30"/>
      <c r="BX11" s="30"/>
      <c r="BY11" s="30"/>
      <c r="BZ11" s="32"/>
      <c r="CA11" s="32"/>
      <c r="CB11" s="32"/>
    </row>
    <row r="12" spans="1:80" s="15" customFormat="1" outlineLevel="1" x14ac:dyDescent="0.2">
      <c r="A12" s="33">
        <v>111</v>
      </c>
      <c r="B12" s="34" t="s">
        <v>27</v>
      </c>
      <c r="C12" s="35"/>
      <c r="D12" s="35"/>
      <c r="E12" s="36">
        <f>C12+D12</f>
        <v>0</v>
      </c>
      <c r="F12" s="35"/>
      <c r="G12" s="35"/>
      <c r="H12" s="36">
        <f>F12+G12</f>
        <v>0</v>
      </c>
      <c r="I12" s="35"/>
      <c r="J12" s="35"/>
      <c r="K12" s="36">
        <f t="shared" ref="K12:K30" si="0">I12+J12</f>
        <v>0</v>
      </c>
      <c r="L12" s="35"/>
      <c r="M12" s="35"/>
      <c r="N12" s="36">
        <f t="shared" ref="N12:N30" si="1">L12+M12</f>
        <v>0</v>
      </c>
      <c r="O12" s="35"/>
      <c r="P12" s="35"/>
      <c r="Q12" s="36">
        <f t="shared" ref="Q12:Q30" si="2">O12+P12</f>
        <v>0</v>
      </c>
      <c r="R12" s="35"/>
      <c r="S12" s="35"/>
      <c r="T12" s="36">
        <f t="shared" ref="T12:T30" si="3">R12+S12</f>
        <v>0</v>
      </c>
      <c r="U12" s="35"/>
      <c r="V12" s="35"/>
      <c r="W12" s="36">
        <f t="shared" ref="W12:W30" si="4">U12+V12</f>
        <v>0</v>
      </c>
      <c r="X12" s="35"/>
      <c r="Y12" s="35"/>
      <c r="Z12" s="36">
        <f t="shared" ref="Z12:Z30" si="5">X12+Y12</f>
        <v>0</v>
      </c>
      <c r="AA12" s="35"/>
      <c r="AB12" s="35"/>
      <c r="AC12" s="36">
        <f t="shared" ref="AC12:AC30" si="6">AA12+AB12</f>
        <v>0</v>
      </c>
      <c r="AD12" s="35"/>
      <c r="AE12" s="35"/>
      <c r="AF12" s="36">
        <f t="shared" ref="AF12:AF30" si="7">AD12+AE12</f>
        <v>0</v>
      </c>
      <c r="AG12" s="35"/>
      <c r="AH12" s="35"/>
      <c r="AI12" s="36">
        <f t="shared" ref="AI12:AI30" si="8">AG12+AH12</f>
        <v>0</v>
      </c>
      <c r="AJ12" s="35"/>
      <c r="AK12" s="35"/>
      <c r="AL12" s="36">
        <f t="shared" ref="AL12:AL30" si="9">AJ12+AK12</f>
        <v>0</v>
      </c>
      <c r="AM12" s="35"/>
      <c r="AN12" s="35"/>
      <c r="AO12" s="36">
        <f t="shared" ref="AO12:AO30" si="10">AM12+AN12</f>
        <v>0</v>
      </c>
      <c r="AP12" s="35"/>
      <c r="AQ12" s="35"/>
      <c r="AR12" s="36">
        <f t="shared" ref="AR12:AR30" si="11">AP12+AQ12</f>
        <v>0</v>
      </c>
      <c r="AS12" s="35"/>
      <c r="AT12" s="35"/>
      <c r="AU12" s="36">
        <f t="shared" ref="AU12:AU30" si="12">AS12+AT12</f>
        <v>0</v>
      </c>
      <c r="AV12" s="35"/>
      <c r="AW12" s="35"/>
      <c r="AX12" s="36">
        <f t="shared" ref="AX12:AX30" si="13">AV12+AW12</f>
        <v>0</v>
      </c>
      <c r="AY12" s="35"/>
      <c r="AZ12" s="35"/>
      <c r="BA12" s="36">
        <f t="shared" ref="BA12:BA30" si="14">AY12+AZ12</f>
        <v>0</v>
      </c>
      <c r="BB12" s="35"/>
      <c r="BC12" s="35"/>
      <c r="BD12" s="36">
        <f t="shared" ref="BD12:BD30" si="15">BB12+BC12</f>
        <v>0</v>
      </c>
      <c r="BE12" s="35"/>
      <c r="BF12" s="35"/>
      <c r="BG12" s="36">
        <f t="shared" ref="BG12:BG30" si="16">BE12+BF12</f>
        <v>0</v>
      </c>
      <c r="BH12" s="35"/>
      <c r="BI12" s="35"/>
      <c r="BJ12" s="36">
        <f t="shared" ref="BJ12:BJ30" si="17">BH12+BI12</f>
        <v>0</v>
      </c>
      <c r="BK12" s="35"/>
      <c r="BL12" s="35"/>
      <c r="BM12" s="36">
        <f t="shared" ref="BM12:BM30" si="18">BK12+BL12</f>
        <v>0</v>
      </c>
      <c r="BN12" s="37"/>
      <c r="BO12" s="35"/>
      <c r="BP12" s="36">
        <f t="shared" ref="BP12:BP30" si="19">BN12+BO12</f>
        <v>0</v>
      </c>
      <c r="BQ12" s="35"/>
      <c r="BR12" s="35"/>
      <c r="BS12" s="36">
        <f t="shared" ref="BS12:BS30" si="20">BQ12+BR12</f>
        <v>0</v>
      </c>
      <c r="BT12" s="37"/>
      <c r="BU12" s="35"/>
      <c r="BV12" s="36">
        <f t="shared" ref="BV12:BV30" si="21">BT12+BU12</f>
        <v>0</v>
      </c>
      <c r="BW12" s="36">
        <f>C12+I12+O12+U12+AA12+AG12+AM12+AS12+AY12+BE12+BK12+BQ12</f>
        <v>0</v>
      </c>
      <c r="BX12" s="36">
        <f>D12+J12+P12+V12+AB12+AH12+AN12+AT12+AZ12+BF12+BL12+BR12</f>
        <v>0</v>
      </c>
      <c r="BY12" s="36">
        <f>BW12+BX12</f>
        <v>0</v>
      </c>
      <c r="BZ12" s="36">
        <f>F12+L12+R12+X12+AD12+AJ12+AP12+AV12+BB12+BH12+BN12+BT12</f>
        <v>0</v>
      </c>
      <c r="CA12" s="36">
        <f>G12+M12+S12+Y12+AE12+AK12+AQ12+AW12+BC12+BI12+BO12+BU12</f>
        <v>0</v>
      </c>
      <c r="CB12" s="36">
        <f>BZ12+CA12</f>
        <v>0</v>
      </c>
    </row>
    <row r="13" spans="1:80" s="44" customFormat="1" ht="24" outlineLevel="1" x14ac:dyDescent="0.2">
      <c r="A13" s="38"/>
      <c r="B13" s="39" t="s">
        <v>28</v>
      </c>
      <c r="C13" s="40"/>
      <c r="D13" s="40"/>
      <c r="E13" s="41">
        <f t="shared" ref="E13:E70" si="22">C13+D13</f>
        <v>0</v>
      </c>
      <c r="F13" s="40"/>
      <c r="G13" s="40"/>
      <c r="H13" s="41">
        <f>F13+G13</f>
        <v>0</v>
      </c>
      <c r="I13" s="40"/>
      <c r="J13" s="40"/>
      <c r="K13" s="41">
        <f t="shared" si="0"/>
        <v>0</v>
      </c>
      <c r="L13" s="40"/>
      <c r="M13" s="40"/>
      <c r="N13" s="41">
        <f t="shared" si="1"/>
        <v>0</v>
      </c>
      <c r="O13" s="40"/>
      <c r="P13" s="40"/>
      <c r="Q13" s="41">
        <f t="shared" si="2"/>
        <v>0</v>
      </c>
      <c r="R13" s="40"/>
      <c r="S13" s="40"/>
      <c r="T13" s="41">
        <f t="shared" si="3"/>
        <v>0</v>
      </c>
      <c r="U13" s="40"/>
      <c r="V13" s="40"/>
      <c r="W13" s="41">
        <f t="shared" si="4"/>
        <v>0</v>
      </c>
      <c r="X13" s="40"/>
      <c r="Y13" s="40"/>
      <c r="Z13" s="41">
        <f t="shared" si="5"/>
        <v>0</v>
      </c>
      <c r="AA13" s="40"/>
      <c r="AB13" s="40"/>
      <c r="AC13" s="41">
        <f t="shared" si="6"/>
        <v>0</v>
      </c>
      <c r="AD13" s="40"/>
      <c r="AE13" s="40"/>
      <c r="AF13" s="41">
        <f t="shared" si="7"/>
        <v>0</v>
      </c>
      <c r="AG13" s="40"/>
      <c r="AH13" s="40"/>
      <c r="AI13" s="41">
        <f t="shared" si="8"/>
        <v>0</v>
      </c>
      <c r="AJ13" s="40"/>
      <c r="AK13" s="40"/>
      <c r="AL13" s="41">
        <f t="shared" si="9"/>
        <v>0</v>
      </c>
      <c r="AM13" s="40"/>
      <c r="AN13" s="40"/>
      <c r="AO13" s="41">
        <f t="shared" si="10"/>
        <v>0</v>
      </c>
      <c r="AP13" s="40"/>
      <c r="AQ13" s="40"/>
      <c r="AR13" s="41">
        <f t="shared" si="11"/>
        <v>0</v>
      </c>
      <c r="AS13" s="40"/>
      <c r="AT13" s="40"/>
      <c r="AU13" s="41">
        <f t="shared" si="12"/>
        <v>0</v>
      </c>
      <c r="AV13" s="40"/>
      <c r="AW13" s="40"/>
      <c r="AX13" s="41">
        <f t="shared" si="13"/>
        <v>0</v>
      </c>
      <c r="AY13" s="40"/>
      <c r="AZ13" s="40"/>
      <c r="BA13" s="41">
        <f t="shared" si="14"/>
        <v>0</v>
      </c>
      <c r="BB13" s="40"/>
      <c r="BC13" s="40"/>
      <c r="BD13" s="41">
        <f t="shared" si="15"/>
        <v>0</v>
      </c>
      <c r="BE13" s="40"/>
      <c r="BF13" s="40"/>
      <c r="BG13" s="41">
        <f t="shared" si="16"/>
        <v>0</v>
      </c>
      <c r="BH13" s="40"/>
      <c r="BI13" s="40"/>
      <c r="BJ13" s="41">
        <f t="shared" si="17"/>
        <v>0</v>
      </c>
      <c r="BK13" s="40"/>
      <c r="BL13" s="40"/>
      <c r="BM13" s="41">
        <f t="shared" si="18"/>
        <v>0</v>
      </c>
      <c r="BN13" s="42"/>
      <c r="BO13" s="40"/>
      <c r="BP13" s="41">
        <f t="shared" si="19"/>
        <v>0</v>
      </c>
      <c r="BQ13" s="40"/>
      <c r="BR13" s="40"/>
      <c r="BS13" s="41">
        <f t="shared" si="20"/>
        <v>0</v>
      </c>
      <c r="BT13" s="40"/>
      <c r="BU13" s="40"/>
      <c r="BV13" s="41">
        <f t="shared" si="21"/>
        <v>0</v>
      </c>
      <c r="BW13" s="43">
        <f t="shared" ref="BW13:BX69" si="23">C13+I13+O13+U13+AA13+AG13+AM13+AS13+AY13+BE13+BK13+BQ13</f>
        <v>0</v>
      </c>
      <c r="BX13" s="43">
        <f t="shared" si="23"/>
        <v>0</v>
      </c>
      <c r="BY13" s="43">
        <f t="shared" ref="BY13:BY70" si="24">BW13+BX13</f>
        <v>0</v>
      </c>
      <c r="BZ13" s="43">
        <f t="shared" ref="BZ13:CA69" si="25">F13+L13+R13+X13+AD13+AJ13+AP13+AV13+BB13+BH13+BN13+BT13</f>
        <v>0</v>
      </c>
      <c r="CA13" s="43">
        <f t="shared" si="25"/>
        <v>0</v>
      </c>
      <c r="CB13" s="43">
        <f t="shared" ref="CB13:CB70" si="26">BZ13+CA13</f>
        <v>0</v>
      </c>
    </row>
    <row r="14" spans="1:80" s="15" customFormat="1" outlineLevel="1" x14ac:dyDescent="0.2">
      <c r="A14" s="33">
        <v>112</v>
      </c>
      <c r="B14" s="34" t="s">
        <v>29</v>
      </c>
      <c r="C14" s="45"/>
      <c r="D14" s="45"/>
      <c r="E14" s="46">
        <f t="shared" si="22"/>
        <v>0</v>
      </c>
      <c r="F14" s="47"/>
      <c r="G14" s="45"/>
      <c r="H14" s="46">
        <f>F14+G14</f>
        <v>0</v>
      </c>
      <c r="I14" s="45"/>
      <c r="J14" s="47"/>
      <c r="K14" s="46">
        <f t="shared" si="0"/>
        <v>0</v>
      </c>
      <c r="L14" s="47"/>
      <c r="M14" s="45"/>
      <c r="N14" s="46">
        <f t="shared" si="1"/>
        <v>0</v>
      </c>
      <c r="O14" s="45">
        <v>289265.55</v>
      </c>
      <c r="P14" s="45">
        <f>76000+3400</f>
        <v>79400</v>
      </c>
      <c r="Q14" s="46">
        <f t="shared" si="2"/>
        <v>368665.55</v>
      </c>
      <c r="R14" s="48">
        <v>1797000</v>
      </c>
      <c r="S14" s="45"/>
      <c r="T14" s="46">
        <f t="shared" si="3"/>
        <v>1797000</v>
      </c>
      <c r="U14" s="45">
        <f>1182573.2+44146.24</f>
        <v>1226719.44</v>
      </c>
      <c r="V14" s="45">
        <f>1360+133998</f>
        <v>135358</v>
      </c>
      <c r="W14" s="46">
        <f t="shared" si="4"/>
        <v>1362077.44</v>
      </c>
      <c r="X14" s="47">
        <v>68600</v>
      </c>
      <c r="Y14" s="45"/>
      <c r="Z14" s="46">
        <f t="shared" si="5"/>
        <v>68600</v>
      </c>
      <c r="AA14" s="45">
        <v>1074727.54</v>
      </c>
      <c r="AB14" s="45">
        <f>29750+160</f>
        <v>29910</v>
      </c>
      <c r="AC14" s="46">
        <f t="shared" si="6"/>
        <v>1104637.54</v>
      </c>
      <c r="AD14" s="47"/>
      <c r="AE14" s="45"/>
      <c r="AF14" s="46">
        <f t="shared" si="7"/>
        <v>0</v>
      </c>
      <c r="AG14" s="45">
        <v>2791033.33</v>
      </c>
      <c r="AH14" s="45">
        <f>16640+500+1770+240</f>
        <v>19150</v>
      </c>
      <c r="AI14" s="46">
        <f t="shared" si="8"/>
        <v>2810183.33</v>
      </c>
      <c r="AJ14" s="47">
        <v>1895000</v>
      </c>
      <c r="AK14" s="45"/>
      <c r="AL14" s="46">
        <f t="shared" si="9"/>
        <v>1895000</v>
      </c>
      <c r="AM14" s="45">
        <v>948545.59</v>
      </c>
      <c r="AN14" s="45">
        <v>9375</v>
      </c>
      <c r="AO14" s="46">
        <f t="shared" si="10"/>
        <v>957920.59</v>
      </c>
      <c r="AP14" s="47"/>
      <c r="AQ14" s="45"/>
      <c r="AR14" s="46">
        <f t="shared" si="11"/>
        <v>0</v>
      </c>
      <c r="AS14" s="45">
        <v>264408.5</v>
      </c>
      <c r="AT14" s="45">
        <v>17302</v>
      </c>
      <c r="AU14" s="46">
        <f t="shared" si="12"/>
        <v>281710.5</v>
      </c>
      <c r="AV14" s="47"/>
      <c r="AW14" s="45"/>
      <c r="AX14" s="46">
        <f t="shared" si="13"/>
        <v>0</v>
      </c>
      <c r="AY14" s="45"/>
      <c r="AZ14" s="45"/>
      <c r="BA14" s="46">
        <f t="shared" si="14"/>
        <v>0</v>
      </c>
      <c r="BB14" s="45"/>
      <c r="BC14" s="45"/>
      <c r="BD14" s="46">
        <f t="shared" si="15"/>
        <v>0</v>
      </c>
      <c r="BE14" s="45"/>
      <c r="BF14" s="45"/>
      <c r="BG14" s="46">
        <f t="shared" si="16"/>
        <v>0</v>
      </c>
      <c r="BH14" s="45"/>
      <c r="BI14" s="45"/>
      <c r="BJ14" s="46">
        <f t="shared" si="17"/>
        <v>0</v>
      </c>
      <c r="BK14" s="45"/>
      <c r="BL14" s="45"/>
      <c r="BM14" s="46">
        <f t="shared" si="18"/>
        <v>0</v>
      </c>
      <c r="BN14" s="47"/>
      <c r="BO14" s="45"/>
      <c r="BP14" s="46">
        <f t="shared" si="19"/>
        <v>0</v>
      </c>
      <c r="BQ14" s="45"/>
      <c r="BR14" s="45"/>
      <c r="BS14" s="46">
        <f t="shared" si="20"/>
        <v>0</v>
      </c>
      <c r="BT14" s="45"/>
      <c r="BU14" s="45"/>
      <c r="BV14" s="46">
        <f t="shared" si="21"/>
        <v>0</v>
      </c>
      <c r="BW14" s="36">
        <f t="shared" si="23"/>
        <v>6594699.9500000002</v>
      </c>
      <c r="BX14" s="36">
        <f t="shared" si="23"/>
        <v>290495</v>
      </c>
      <c r="BY14" s="36">
        <f t="shared" si="24"/>
        <v>6885194.9500000002</v>
      </c>
      <c r="BZ14" s="36">
        <f t="shared" si="25"/>
        <v>3760600</v>
      </c>
      <c r="CA14" s="36">
        <f t="shared" si="25"/>
        <v>0</v>
      </c>
      <c r="CB14" s="36">
        <f t="shared" si="26"/>
        <v>3760600</v>
      </c>
    </row>
    <row r="15" spans="1:80" s="44" customFormat="1" ht="24" outlineLevel="1" x14ac:dyDescent="0.2">
      <c r="A15" s="38"/>
      <c r="B15" s="39" t="s">
        <v>30</v>
      </c>
      <c r="C15" s="40"/>
      <c r="D15" s="40"/>
      <c r="E15" s="41">
        <f t="shared" si="22"/>
        <v>0</v>
      </c>
      <c r="F15" s="40"/>
      <c r="G15" s="40"/>
      <c r="H15" s="41">
        <f t="shared" ref="H15:H29" si="27">F15+G15</f>
        <v>0</v>
      </c>
      <c r="I15" s="40"/>
      <c r="J15" s="40"/>
      <c r="K15" s="41">
        <f t="shared" si="0"/>
        <v>0</v>
      </c>
      <c r="L15" s="40"/>
      <c r="M15" s="40"/>
      <c r="N15" s="41">
        <f t="shared" si="1"/>
        <v>0</v>
      </c>
      <c r="O15" s="40"/>
      <c r="P15" s="40"/>
      <c r="Q15" s="41">
        <f t="shared" si="2"/>
        <v>0</v>
      </c>
      <c r="R15" s="40"/>
      <c r="S15" s="40"/>
      <c r="T15" s="41">
        <f t="shared" si="3"/>
        <v>0</v>
      </c>
      <c r="U15" s="40"/>
      <c r="V15" s="40"/>
      <c r="W15" s="41">
        <f t="shared" si="4"/>
        <v>0</v>
      </c>
      <c r="X15" s="40"/>
      <c r="Y15" s="40"/>
      <c r="Z15" s="41">
        <f t="shared" si="5"/>
        <v>0</v>
      </c>
      <c r="AA15" s="40"/>
      <c r="AB15" s="40"/>
      <c r="AC15" s="41">
        <f t="shared" si="6"/>
        <v>0</v>
      </c>
      <c r="AD15" s="40"/>
      <c r="AE15" s="40"/>
      <c r="AF15" s="41">
        <f t="shared" si="7"/>
        <v>0</v>
      </c>
      <c r="AG15" s="40"/>
      <c r="AH15" s="40"/>
      <c r="AI15" s="41">
        <f t="shared" si="8"/>
        <v>0</v>
      </c>
      <c r="AJ15" s="40"/>
      <c r="AK15" s="40"/>
      <c r="AL15" s="41">
        <f t="shared" si="9"/>
        <v>0</v>
      </c>
      <c r="AM15" s="40"/>
      <c r="AN15" s="40"/>
      <c r="AO15" s="41">
        <f t="shared" si="10"/>
        <v>0</v>
      </c>
      <c r="AP15" s="40"/>
      <c r="AQ15" s="40"/>
      <c r="AR15" s="41">
        <f t="shared" si="11"/>
        <v>0</v>
      </c>
      <c r="AS15" s="40"/>
      <c r="AT15" s="40"/>
      <c r="AU15" s="41">
        <f t="shared" si="12"/>
        <v>0</v>
      </c>
      <c r="AV15" s="40"/>
      <c r="AW15" s="40"/>
      <c r="AX15" s="41">
        <f t="shared" si="13"/>
        <v>0</v>
      </c>
      <c r="AY15" s="40"/>
      <c r="AZ15" s="40"/>
      <c r="BA15" s="41">
        <f t="shared" si="14"/>
        <v>0</v>
      </c>
      <c r="BB15" s="40"/>
      <c r="BC15" s="40"/>
      <c r="BD15" s="41">
        <f t="shared" si="15"/>
        <v>0</v>
      </c>
      <c r="BE15" s="40"/>
      <c r="BF15" s="40"/>
      <c r="BG15" s="41">
        <f t="shared" si="16"/>
        <v>0</v>
      </c>
      <c r="BH15" s="40"/>
      <c r="BI15" s="40"/>
      <c r="BJ15" s="41">
        <f t="shared" si="17"/>
        <v>0</v>
      </c>
      <c r="BK15" s="40"/>
      <c r="BL15" s="40"/>
      <c r="BM15" s="41">
        <f t="shared" si="18"/>
        <v>0</v>
      </c>
      <c r="BN15" s="42"/>
      <c r="BO15" s="40"/>
      <c r="BP15" s="41">
        <f t="shared" si="19"/>
        <v>0</v>
      </c>
      <c r="BQ15" s="40"/>
      <c r="BR15" s="40"/>
      <c r="BS15" s="41">
        <f t="shared" si="20"/>
        <v>0</v>
      </c>
      <c r="BT15" s="40"/>
      <c r="BU15" s="40"/>
      <c r="BV15" s="41">
        <f t="shared" si="21"/>
        <v>0</v>
      </c>
      <c r="BW15" s="43">
        <f t="shared" si="23"/>
        <v>0</v>
      </c>
      <c r="BX15" s="43">
        <f t="shared" si="23"/>
        <v>0</v>
      </c>
      <c r="BY15" s="43">
        <f t="shared" si="24"/>
        <v>0</v>
      </c>
      <c r="BZ15" s="43">
        <f t="shared" si="25"/>
        <v>0</v>
      </c>
      <c r="CA15" s="43">
        <f t="shared" si="25"/>
        <v>0</v>
      </c>
      <c r="CB15" s="43">
        <f t="shared" si="26"/>
        <v>0</v>
      </c>
    </row>
    <row r="16" spans="1:80" s="15" customFormat="1" outlineLevel="1" x14ac:dyDescent="0.2">
      <c r="A16" s="33">
        <v>113</v>
      </c>
      <c r="B16" s="34" t="s">
        <v>31</v>
      </c>
      <c r="C16" s="45"/>
      <c r="D16" s="45"/>
      <c r="E16" s="46">
        <f t="shared" si="22"/>
        <v>0</v>
      </c>
      <c r="F16" s="45"/>
      <c r="G16" s="45"/>
      <c r="H16" s="46"/>
      <c r="I16" s="45"/>
      <c r="J16" s="47"/>
      <c r="K16" s="46">
        <f t="shared" si="0"/>
        <v>0</v>
      </c>
      <c r="L16" s="45"/>
      <c r="M16" s="45"/>
      <c r="N16" s="46">
        <f t="shared" si="1"/>
        <v>0</v>
      </c>
      <c r="O16" s="45"/>
      <c r="P16" s="45">
        <f>160000+12520+10590+5500</f>
        <v>188610</v>
      </c>
      <c r="Q16" s="46">
        <f t="shared" si="2"/>
        <v>188610</v>
      </c>
      <c r="R16" s="45"/>
      <c r="S16" s="45"/>
      <c r="T16" s="46">
        <f t="shared" si="3"/>
        <v>0</v>
      </c>
      <c r="U16" s="45"/>
      <c r="V16" s="45">
        <f>160000+250000</f>
        <v>410000</v>
      </c>
      <c r="W16" s="46">
        <f t="shared" si="4"/>
        <v>410000</v>
      </c>
      <c r="X16" s="45"/>
      <c r="Y16" s="45"/>
      <c r="Z16" s="46">
        <f t="shared" si="5"/>
        <v>0</v>
      </c>
      <c r="AA16" s="45"/>
      <c r="AB16" s="45">
        <f>160000+200000+100000+32000+88880+60000+21099+25641</f>
        <v>687620</v>
      </c>
      <c r="AC16" s="46">
        <f t="shared" si="6"/>
        <v>687620</v>
      </c>
      <c r="AD16" s="45"/>
      <c r="AE16" s="45"/>
      <c r="AF16" s="46">
        <f t="shared" si="7"/>
        <v>0</v>
      </c>
      <c r="AG16" s="45"/>
      <c r="AH16" s="45">
        <f>50000+147000+42000+160000+170000+48020+24108+2100</f>
        <v>643228</v>
      </c>
      <c r="AI16" s="46">
        <f t="shared" si="8"/>
        <v>643228</v>
      </c>
      <c r="AJ16" s="45">
        <v>62000</v>
      </c>
      <c r="AK16" s="45"/>
      <c r="AL16" s="46">
        <f t="shared" si="9"/>
        <v>62000</v>
      </c>
      <c r="AM16" s="45">
        <v>6600</v>
      </c>
      <c r="AN16" s="45">
        <v>222000</v>
      </c>
      <c r="AO16" s="46">
        <f t="shared" si="10"/>
        <v>228600</v>
      </c>
      <c r="AP16" s="45">
        <v>50000</v>
      </c>
      <c r="AQ16" s="45"/>
      <c r="AR16" s="46">
        <f t="shared" si="11"/>
        <v>50000</v>
      </c>
      <c r="AS16" s="45"/>
      <c r="AT16" s="45">
        <f>148000+134290</f>
        <v>282290</v>
      </c>
      <c r="AU16" s="46">
        <f t="shared" si="12"/>
        <v>282290</v>
      </c>
      <c r="AV16" s="45">
        <f>378700+100000+50000</f>
        <v>528700</v>
      </c>
      <c r="AW16" s="45"/>
      <c r="AX16" s="46">
        <f t="shared" si="13"/>
        <v>528700</v>
      </c>
      <c r="AY16" s="45">
        <f>176700+40000</f>
        <v>216700</v>
      </c>
      <c r="AZ16" s="45"/>
      <c r="BA16" s="46">
        <f t="shared" si="14"/>
        <v>216700</v>
      </c>
      <c r="BB16" s="45">
        <v>216700</v>
      </c>
      <c r="BC16" s="45"/>
      <c r="BD16" s="46">
        <f t="shared" si="15"/>
        <v>216700</v>
      </c>
      <c r="BE16" s="45"/>
      <c r="BF16" s="45"/>
      <c r="BG16" s="46">
        <f t="shared" si="16"/>
        <v>0</v>
      </c>
      <c r="BH16" s="45"/>
      <c r="BI16" s="45"/>
      <c r="BJ16" s="46">
        <f t="shared" si="17"/>
        <v>0</v>
      </c>
      <c r="BK16" s="45"/>
      <c r="BL16" s="45"/>
      <c r="BM16" s="46">
        <f t="shared" si="18"/>
        <v>0</v>
      </c>
      <c r="BN16" s="48"/>
      <c r="BO16" s="45"/>
      <c r="BP16" s="46">
        <f t="shared" si="19"/>
        <v>0</v>
      </c>
      <c r="BQ16" s="45"/>
      <c r="BR16" s="45"/>
      <c r="BS16" s="46">
        <f t="shared" si="20"/>
        <v>0</v>
      </c>
      <c r="BT16" s="83"/>
      <c r="BU16" s="45"/>
      <c r="BV16" s="46">
        <f t="shared" si="21"/>
        <v>0</v>
      </c>
      <c r="BW16" s="36">
        <f t="shared" si="23"/>
        <v>223300</v>
      </c>
      <c r="BX16" s="36">
        <f t="shared" si="23"/>
        <v>2433748</v>
      </c>
      <c r="BY16" s="36">
        <f t="shared" si="24"/>
        <v>2657048</v>
      </c>
      <c r="BZ16" s="36">
        <f t="shared" si="25"/>
        <v>857400</v>
      </c>
      <c r="CA16" s="36">
        <f t="shared" si="25"/>
        <v>0</v>
      </c>
      <c r="CB16" s="36">
        <f t="shared" si="26"/>
        <v>857400</v>
      </c>
    </row>
    <row r="17" spans="1:82" s="44" customFormat="1" ht="12" outlineLevel="1" x14ac:dyDescent="0.2">
      <c r="A17" s="38"/>
      <c r="B17" s="39" t="s">
        <v>32</v>
      </c>
      <c r="C17" s="40"/>
      <c r="D17" s="40"/>
      <c r="E17" s="41">
        <f t="shared" si="22"/>
        <v>0</v>
      </c>
      <c r="F17" s="40"/>
      <c r="G17" s="40"/>
      <c r="H17" s="41"/>
      <c r="I17" s="40"/>
      <c r="J17" s="40"/>
      <c r="K17" s="41">
        <f t="shared" si="0"/>
        <v>0</v>
      </c>
      <c r="L17" s="40"/>
      <c r="M17" s="40"/>
      <c r="N17" s="41">
        <f t="shared" si="1"/>
        <v>0</v>
      </c>
      <c r="O17" s="40"/>
      <c r="P17" s="40"/>
      <c r="Q17" s="41">
        <f t="shared" si="2"/>
        <v>0</v>
      </c>
      <c r="R17" s="40"/>
      <c r="S17" s="40"/>
      <c r="T17" s="41">
        <f t="shared" si="3"/>
        <v>0</v>
      </c>
      <c r="U17" s="40"/>
      <c r="V17" s="40"/>
      <c r="W17" s="41">
        <f t="shared" si="4"/>
        <v>0</v>
      </c>
      <c r="X17" s="40"/>
      <c r="Y17" s="40"/>
      <c r="Z17" s="41">
        <f t="shared" si="5"/>
        <v>0</v>
      </c>
      <c r="AA17" s="40"/>
      <c r="AB17" s="40"/>
      <c r="AC17" s="41">
        <f t="shared" si="6"/>
        <v>0</v>
      </c>
      <c r="AD17" s="40"/>
      <c r="AE17" s="40"/>
      <c r="AF17" s="41">
        <f t="shared" si="7"/>
        <v>0</v>
      </c>
      <c r="AG17" s="40"/>
      <c r="AH17" s="40"/>
      <c r="AI17" s="41">
        <f t="shared" si="8"/>
        <v>0</v>
      </c>
      <c r="AJ17" s="40"/>
      <c r="AK17" s="40"/>
      <c r="AL17" s="41">
        <f t="shared" si="9"/>
        <v>0</v>
      </c>
      <c r="AM17" s="40"/>
      <c r="AN17" s="40"/>
      <c r="AO17" s="41">
        <f t="shared" si="10"/>
        <v>0</v>
      </c>
      <c r="AP17" s="40"/>
      <c r="AQ17" s="40"/>
      <c r="AR17" s="41">
        <f t="shared" si="11"/>
        <v>0</v>
      </c>
      <c r="AS17" s="40"/>
      <c r="AT17" s="40"/>
      <c r="AU17" s="41">
        <f t="shared" si="12"/>
        <v>0</v>
      </c>
      <c r="AV17" s="40"/>
      <c r="AW17" s="40"/>
      <c r="AX17" s="41">
        <f t="shared" si="13"/>
        <v>0</v>
      </c>
      <c r="AY17" s="40"/>
      <c r="AZ17" s="40"/>
      <c r="BA17" s="41">
        <f t="shared" si="14"/>
        <v>0</v>
      </c>
      <c r="BB17" s="40"/>
      <c r="BC17" s="40"/>
      <c r="BD17" s="41">
        <f t="shared" si="15"/>
        <v>0</v>
      </c>
      <c r="BE17" s="40"/>
      <c r="BF17" s="40"/>
      <c r="BG17" s="41">
        <f t="shared" si="16"/>
        <v>0</v>
      </c>
      <c r="BH17" s="40"/>
      <c r="BI17" s="40"/>
      <c r="BJ17" s="41">
        <f t="shared" si="17"/>
        <v>0</v>
      </c>
      <c r="BK17" s="40"/>
      <c r="BL17" s="40"/>
      <c r="BM17" s="41">
        <f t="shared" si="18"/>
        <v>0</v>
      </c>
      <c r="BN17" s="40"/>
      <c r="BO17" s="40"/>
      <c r="BP17" s="41">
        <f t="shared" si="19"/>
        <v>0</v>
      </c>
      <c r="BQ17" s="40"/>
      <c r="BR17" s="40"/>
      <c r="BS17" s="41">
        <f t="shared" si="20"/>
        <v>0</v>
      </c>
      <c r="BT17" s="40"/>
      <c r="BU17" s="40"/>
      <c r="BV17" s="41">
        <f t="shared" si="21"/>
        <v>0</v>
      </c>
      <c r="BW17" s="43">
        <f t="shared" si="23"/>
        <v>0</v>
      </c>
      <c r="BX17" s="43">
        <f t="shared" si="23"/>
        <v>0</v>
      </c>
      <c r="BY17" s="43">
        <f t="shared" si="24"/>
        <v>0</v>
      </c>
      <c r="BZ17" s="43">
        <f t="shared" si="25"/>
        <v>0</v>
      </c>
      <c r="CA17" s="43">
        <f t="shared" si="25"/>
        <v>0</v>
      </c>
      <c r="CB17" s="43">
        <f t="shared" si="26"/>
        <v>0</v>
      </c>
    </row>
    <row r="18" spans="1:82" s="15" customFormat="1" outlineLevel="1" x14ac:dyDescent="0.2">
      <c r="A18" s="33">
        <v>114</v>
      </c>
      <c r="B18" s="34" t="s">
        <v>33</v>
      </c>
      <c r="C18" s="45"/>
      <c r="D18" s="45"/>
      <c r="E18" s="46">
        <f t="shared" si="22"/>
        <v>0</v>
      </c>
      <c r="F18" s="45"/>
      <c r="G18" s="45"/>
      <c r="H18" s="46">
        <f t="shared" si="27"/>
        <v>0</v>
      </c>
      <c r="I18" s="45"/>
      <c r="J18" s="45"/>
      <c r="K18" s="46">
        <f t="shared" si="0"/>
        <v>0</v>
      </c>
      <c r="L18" s="45"/>
      <c r="M18" s="45"/>
      <c r="N18" s="46">
        <f t="shared" si="1"/>
        <v>0</v>
      </c>
      <c r="O18" s="45"/>
      <c r="P18" s="45"/>
      <c r="Q18" s="46">
        <f t="shared" si="2"/>
        <v>0</v>
      </c>
      <c r="R18" s="45"/>
      <c r="S18" s="45"/>
      <c r="T18" s="46">
        <f t="shared" si="3"/>
        <v>0</v>
      </c>
      <c r="U18" s="45"/>
      <c r="V18" s="45"/>
      <c r="W18" s="46">
        <f t="shared" si="4"/>
        <v>0</v>
      </c>
      <c r="X18" s="45"/>
      <c r="Y18" s="45"/>
      <c r="Z18" s="46">
        <f t="shared" si="5"/>
        <v>0</v>
      </c>
      <c r="AA18" s="45"/>
      <c r="AB18" s="45"/>
      <c r="AC18" s="46">
        <f t="shared" si="6"/>
        <v>0</v>
      </c>
      <c r="AD18" s="45"/>
      <c r="AE18" s="45"/>
      <c r="AF18" s="46">
        <f t="shared" si="7"/>
        <v>0</v>
      </c>
      <c r="AG18" s="45"/>
      <c r="AH18" s="45"/>
      <c r="AI18" s="46">
        <f t="shared" si="8"/>
        <v>0</v>
      </c>
      <c r="AJ18" s="45"/>
      <c r="AK18" s="45"/>
      <c r="AL18" s="46">
        <f t="shared" si="9"/>
        <v>0</v>
      </c>
      <c r="AM18" s="45"/>
      <c r="AN18" s="45"/>
      <c r="AO18" s="46">
        <f t="shared" si="10"/>
        <v>0</v>
      </c>
      <c r="AP18" s="45"/>
      <c r="AQ18" s="45"/>
      <c r="AR18" s="46">
        <f t="shared" si="11"/>
        <v>0</v>
      </c>
      <c r="AS18" s="45"/>
      <c r="AT18" s="45"/>
      <c r="AU18" s="46">
        <f t="shared" si="12"/>
        <v>0</v>
      </c>
      <c r="AV18" s="45"/>
      <c r="AW18" s="45"/>
      <c r="AX18" s="46">
        <f t="shared" si="13"/>
        <v>0</v>
      </c>
      <c r="AY18" s="45"/>
      <c r="AZ18" s="45"/>
      <c r="BA18" s="46">
        <f t="shared" si="14"/>
        <v>0</v>
      </c>
      <c r="BB18" s="45"/>
      <c r="BC18" s="45"/>
      <c r="BD18" s="46">
        <f t="shared" si="15"/>
        <v>0</v>
      </c>
      <c r="BE18" s="45"/>
      <c r="BF18" s="45"/>
      <c r="BG18" s="46">
        <f t="shared" si="16"/>
        <v>0</v>
      </c>
      <c r="BH18" s="45"/>
      <c r="BI18" s="45"/>
      <c r="BJ18" s="46">
        <f t="shared" si="17"/>
        <v>0</v>
      </c>
      <c r="BK18" s="45"/>
      <c r="BL18" s="45"/>
      <c r="BM18" s="46">
        <f t="shared" si="18"/>
        <v>0</v>
      </c>
      <c r="BN18" s="45"/>
      <c r="BO18" s="45"/>
      <c r="BP18" s="46">
        <f t="shared" si="19"/>
        <v>0</v>
      </c>
      <c r="BQ18" s="45"/>
      <c r="BR18" s="45"/>
      <c r="BS18" s="46">
        <f t="shared" si="20"/>
        <v>0</v>
      </c>
      <c r="BT18" s="45"/>
      <c r="BU18" s="45"/>
      <c r="BV18" s="46">
        <f t="shared" si="21"/>
        <v>0</v>
      </c>
      <c r="BW18" s="36">
        <f t="shared" si="23"/>
        <v>0</v>
      </c>
      <c r="BX18" s="36">
        <f t="shared" si="23"/>
        <v>0</v>
      </c>
      <c r="BY18" s="36">
        <f t="shared" si="24"/>
        <v>0</v>
      </c>
      <c r="BZ18" s="36">
        <f t="shared" si="25"/>
        <v>0</v>
      </c>
      <c r="CA18" s="36">
        <f t="shared" si="25"/>
        <v>0</v>
      </c>
      <c r="CB18" s="36">
        <f t="shared" si="26"/>
        <v>0</v>
      </c>
    </row>
    <row r="19" spans="1:82" s="44" customFormat="1" ht="12" outlineLevel="1" x14ac:dyDescent="0.2">
      <c r="A19" s="38"/>
      <c r="B19" s="39" t="s">
        <v>34</v>
      </c>
      <c r="C19" s="40"/>
      <c r="D19" s="40"/>
      <c r="E19" s="41">
        <f t="shared" si="22"/>
        <v>0</v>
      </c>
      <c r="F19" s="40"/>
      <c r="G19" s="40"/>
      <c r="H19" s="41">
        <f t="shared" si="27"/>
        <v>0</v>
      </c>
      <c r="I19" s="40"/>
      <c r="J19" s="40"/>
      <c r="K19" s="41">
        <f t="shared" si="0"/>
        <v>0</v>
      </c>
      <c r="L19" s="40"/>
      <c r="M19" s="40"/>
      <c r="N19" s="41">
        <f t="shared" si="1"/>
        <v>0</v>
      </c>
      <c r="O19" s="40"/>
      <c r="P19" s="40"/>
      <c r="Q19" s="41">
        <f t="shared" si="2"/>
        <v>0</v>
      </c>
      <c r="R19" s="40"/>
      <c r="S19" s="40"/>
      <c r="T19" s="41">
        <f t="shared" si="3"/>
        <v>0</v>
      </c>
      <c r="U19" s="40"/>
      <c r="V19" s="40"/>
      <c r="W19" s="41">
        <f t="shared" si="4"/>
        <v>0</v>
      </c>
      <c r="X19" s="40"/>
      <c r="Y19" s="40"/>
      <c r="Z19" s="41">
        <f t="shared" si="5"/>
        <v>0</v>
      </c>
      <c r="AA19" s="40"/>
      <c r="AB19" s="40"/>
      <c r="AC19" s="41">
        <f t="shared" si="6"/>
        <v>0</v>
      </c>
      <c r="AD19" s="40"/>
      <c r="AE19" s="40"/>
      <c r="AF19" s="41">
        <f t="shared" si="7"/>
        <v>0</v>
      </c>
      <c r="AG19" s="40"/>
      <c r="AH19" s="40"/>
      <c r="AI19" s="41">
        <f t="shared" si="8"/>
        <v>0</v>
      </c>
      <c r="AJ19" s="40"/>
      <c r="AK19" s="40"/>
      <c r="AL19" s="41">
        <f t="shared" si="9"/>
        <v>0</v>
      </c>
      <c r="AM19" s="40"/>
      <c r="AN19" s="40"/>
      <c r="AO19" s="41">
        <f t="shared" si="10"/>
        <v>0</v>
      </c>
      <c r="AP19" s="40"/>
      <c r="AQ19" s="40"/>
      <c r="AR19" s="41">
        <f t="shared" si="11"/>
        <v>0</v>
      </c>
      <c r="AS19" s="40"/>
      <c r="AT19" s="40"/>
      <c r="AU19" s="41">
        <f t="shared" si="12"/>
        <v>0</v>
      </c>
      <c r="AV19" s="40"/>
      <c r="AW19" s="40"/>
      <c r="AX19" s="41">
        <f t="shared" si="13"/>
        <v>0</v>
      </c>
      <c r="AY19" s="40"/>
      <c r="AZ19" s="40"/>
      <c r="BA19" s="41">
        <f t="shared" si="14"/>
        <v>0</v>
      </c>
      <c r="BB19" s="40"/>
      <c r="BC19" s="40"/>
      <c r="BD19" s="41">
        <f t="shared" si="15"/>
        <v>0</v>
      </c>
      <c r="BE19" s="40"/>
      <c r="BF19" s="40"/>
      <c r="BG19" s="41">
        <f t="shared" si="16"/>
        <v>0</v>
      </c>
      <c r="BH19" s="40"/>
      <c r="BI19" s="40"/>
      <c r="BJ19" s="41">
        <f t="shared" si="17"/>
        <v>0</v>
      </c>
      <c r="BK19" s="40"/>
      <c r="BL19" s="40"/>
      <c r="BM19" s="41">
        <f t="shared" si="18"/>
        <v>0</v>
      </c>
      <c r="BN19" s="40"/>
      <c r="BO19" s="40"/>
      <c r="BP19" s="41">
        <f t="shared" si="19"/>
        <v>0</v>
      </c>
      <c r="BQ19" s="40"/>
      <c r="BR19" s="40"/>
      <c r="BS19" s="41">
        <f t="shared" si="20"/>
        <v>0</v>
      </c>
      <c r="BT19" s="40"/>
      <c r="BU19" s="40"/>
      <c r="BV19" s="41">
        <f t="shared" si="21"/>
        <v>0</v>
      </c>
      <c r="BW19" s="43">
        <f t="shared" si="23"/>
        <v>0</v>
      </c>
      <c r="BX19" s="43">
        <f t="shared" si="23"/>
        <v>0</v>
      </c>
      <c r="BY19" s="43">
        <f t="shared" si="24"/>
        <v>0</v>
      </c>
      <c r="BZ19" s="43">
        <f t="shared" si="25"/>
        <v>0</v>
      </c>
      <c r="CA19" s="43">
        <f t="shared" si="25"/>
        <v>0</v>
      </c>
      <c r="CB19" s="43">
        <f t="shared" si="26"/>
        <v>0</v>
      </c>
    </row>
    <row r="20" spans="1:82" s="15" customFormat="1" outlineLevel="1" x14ac:dyDescent="0.2">
      <c r="A20" s="33">
        <v>115</v>
      </c>
      <c r="B20" s="49" t="s">
        <v>35</v>
      </c>
      <c r="C20" s="50"/>
      <c r="D20" s="51"/>
      <c r="E20" s="52">
        <f t="shared" si="22"/>
        <v>0</v>
      </c>
      <c r="F20" s="50"/>
      <c r="G20" s="51"/>
      <c r="H20" s="52">
        <f t="shared" si="27"/>
        <v>0</v>
      </c>
      <c r="I20" s="50"/>
      <c r="J20" s="51"/>
      <c r="K20" s="52">
        <f t="shared" si="0"/>
        <v>0</v>
      </c>
      <c r="L20" s="50"/>
      <c r="M20" s="51"/>
      <c r="N20" s="52">
        <f t="shared" si="1"/>
        <v>0</v>
      </c>
      <c r="O20" s="50"/>
      <c r="P20" s="51"/>
      <c r="Q20" s="52">
        <f t="shared" si="2"/>
        <v>0</v>
      </c>
      <c r="R20" s="50"/>
      <c r="S20" s="51"/>
      <c r="T20" s="52">
        <f t="shared" si="3"/>
        <v>0</v>
      </c>
      <c r="U20" s="50"/>
      <c r="V20" s="51"/>
      <c r="W20" s="52">
        <f t="shared" si="4"/>
        <v>0</v>
      </c>
      <c r="X20" s="50"/>
      <c r="Y20" s="51"/>
      <c r="Z20" s="52">
        <f t="shared" si="5"/>
        <v>0</v>
      </c>
      <c r="AA20" s="50">
        <f>1093.33</f>
        <v>1093.33</v>
      </c>
      <c r="AB20" s="51"/>
      <c r="AC20" s="52">
        <f t="shared" si="6"/>
        <v>1093.33</v>
      </c>
      <c r="AD20" s="50"/>
      <c r="AE20" s="51"/>
      <c r="AF20" s="52">
        <f t="shared" si="7"/>
        <v>0</v>
      </c>
      <c r="AG20" s="50"/>
      <c r="AH20" s="51"/>
      <c r="AI20" s="52">
        <f t="shared" si="8"/>
        <v>0</v>
      </c>
      <c r="AJ20" s="50"/>
      <c r="AK20" s="51"/>
      <c r="AL20" s="52">
        <f t="shared" si="9"/>
        <v>0</v>
      </c>
      <c r="AM20" s="50"/>
      <c r="AN20" s="51"/>
      <c r="AO20" s="52">
        <f t="shared" si="10"/>
        <v>0</v>
      </c>
      <c r="AP20" s="50"/>
      <c r="AQ20" s="51"/>
      <c r="AR20" s="52">
        <f t="shared" si="11"/>
        <v>0</v>
      </c>
      <c r="AS20" s="50"/>
      <c r="AT20" s="51"/>
      <c r="AU20" s="52">
        <f t="shared" si="12"/>
        <v>0</v>
      </c>
      <c r="AV20" s="50"/>
      <c r="AW20" s="51"/>
      <c r="AX20" s="52">
        <f t="shared" si="13"/>
        <v>0</v>
      </c>
      <c r="AY20" s="50"/>
      <c r="AZ20" s="51"/>
      <c r="BA20" s="52">
        <f t="shared" si="14"/>
        <v>0</v>
      </c>
      <c r="BB20" s="50"/>
      <c r="BC20" s="51"/>
      <c r="BD20" s="52">
        <f t="shared" si="15"/>
        <v>0</v>
      </c>
      <c r="BE20" s="50"/>
      <c r="BF20" s="51"/>
      <c r="BG20" s="52">
        <f t="shared" si="16"/>
        <v>0</v>
      </c>
      <c r="BH20" s="50"/>
      <c r="BI20" s="51"/>
      <c r="BJ20" s="52">
        <f t="shared" si="17"/>
        <v>0</v>
      </c>
      <c r="BK20" s="50"/>
      <c r="BL20" s="51"/>
      <c r="BM20" s="52">
        <f t="shared" si="18"/>
        <v>0</v>
      </c>
      <c r="BN20" s="50"/>
      <c r="BO20" s="51"/>
      <c r="BP20" s="52">
        <f t="shared" si="19"/>
        <v>0</v>
      </c>
      <c r="BQ20" s="50"/>
      <c r="BR20" s="51"/>
      <c r="BS20" s="52">
        <f t="shared" si="20"/>
        <v>0</v>
      </c>
      <c r="BT20" s="50"/>
      <c r="BU20" s="51"/>
      <c r="BV20" s="52">
        <f t="shared" si="21"/>
        <v>0</v>
      </c>
      <c r="BW20" s="36">
        <f t="shared" si="23"/>
        <v>1093.33</v>
      </c>
      <c r="BX20" s="36">
        <f t="shared" si="23"/>
        <v>0</v>
      </c>
      <c r="BY20" s="36">
        <f t="shared" si="24"/>
        <v>1093.33</v>
      </c>
      <c r="BZ20" s="36">
        <f t="shared" si="25"/>
        <v>0</v>
      </c>
      <c r="CA20" s="36">
        <f t="shared" si="25"/>
        <v>0</v>
      </c>
      <c r="CB20" s="36">
        <f t="shared" si="26"/>
        <v>0</v>
      </c>
    </row>
    <row r="21" spans="1:82" s="15" customFormat="1" outlineLevel="1" x14ac:dyDescent="0.2">
      <c r="A21" s="33">
        <v>211</v>
      </c>
      <c r="B21" s="49" t="s">
        <v>36</v>
      </c>
      <c r="C21" s="50"/>
      <c r="D21" s="50"/>
      <c r="E21" s="52">
        <f t="shared" si="22"/>
        <v>0</v>
      </c>
      <c r="F21" s="50"/>
      <c r="G21" s="50"/>
      <c r="H21" s="52">
        <f t="shared" si="27"/>
        <v>0</v>
      </c>
      <c r="I21" s="50"/>
      <c r="J21" s="50"/>
      <c r="K21" s="52">
        <f t="shared" si="0"/>
        <v>0</v>
      </c>
      <c r="L21" s="50"/>
      <c r="M21" s="50"/>
      <c r="N21" s="52">
        <f t="shared" si="1"/>
        <v>0</v>
      </c>
      <c r="O21" s="50"/>
      <c r="P21" s="50"/>
      <c r="Q21" s="52">
        <f t="shared" si="2"/>
        <v>0</v>
      </c>
      <c r="R21" s="50"/>
      <c r="S21" s="50"/>
      <c r="T21" s="52">
        <f t="shared" si="3"/>
        <v>0</v>
      </c>
      <c r="U21" s="50"/>
      <c r="V21" s="50"/>
      <c r="W21" s="52">
        <f t="shared" si="4"/>
        <v>0</v>
      </c>
      <c r="X21" s="50"/>
      <c r="Y21" s="50"/>
      <c r="Z21" s="52">
        <f t="shared" si="5"/>
        <v>0</v>
      </c>
      <c r="AA21" s="50"/>
      <c r="AB21" s="50"/>
      <c r="AC21" s="52">
        <f t="shared" si="6"/>
        <v>0</v>
      </c>
      <c r="AD21" s="50"/>
      <c r="AE21" s="50"/>
      <c r="AF21" s="52">
        <f t="shared" si="7"/>
        <v>0</v>
      </c>
      <c r="AG21" s="50"/>
      <c r="AH21" s="50"/>
      <c r="AI21" s="52">
        <f t="shared" si="8"/>
        <v>0</v>
      </c>
      <c r="AJ21" s="50"/>
      <c r="AK21" s="50"/>
      <c r="AL21" s="52">
        <f t="shared" si="9"/>
        <v>0</v>
      </c>
      <c r="AM21" s="50"/>
      <c r="AN21" s="50"/>
      <c r="AO21" s="52">
        <f t="shared" si="10"/>
        <v>0</v>
      </c>
      <c r="AP21" s="50"/>
      <c r="AQ21" s="50"/>
      <c r="AR21" s="52">
        <f t="shared" si="11"/>
        <v>0</v>
      </c>
      <c r="AS21" s="50"/>
      <c r="AT21" s="50"/>
      <c r="AU21" s="52">
        <f t="shared" si="12"/>
        <v>0</v>
      </c>
      <c r="AV21" s="50"/>
      <c r="AW21" s="50"/>
      <c r="AX21" s="52">
        <f t="shared" si="13"/>
        <v>0</v>
      </c>
      <c r="AY21" s="50"/>
      <c r="AZ21" s="50"/>
      <c r="BA21" s="52">
        <f t="shared" si="14"/>
        <v>0</v>
      </c>
      <c r="BB21" s="50"/>
      <c r="BC21" s="50"/>
      <c r="BD21" s="52">
        <f t="shared" si="15"/>
        <v>0</v>
      </c>
      <c r="BE21" s="50"/>
      <c r="BF21" s="50"/>
      <c r="BG21" s="52">
        <f t="shared" si="16"/>
        <v>0</v>
      </c>
      <c r="BH21" s="50"/>
      <c r="BI21" s="50"/>
      <c r="BJ21" s="52">
        <f t="shared" si="17"/>
        <v>0</v>
      </c>
      <c r="BK21" s="50"/>
      <c r="BL21" s="50"/>
      <c r="BM21" s="52">
        <f t="shared" si="18"/>
        <v>0</v>
      </c>
      <c r="BN21" s="50"/>
      <c r="BO21" s="50"/>
      <c r="BP21" s="52">
        <f t="shared" si="19"/>
        <v>0</v>
      </c>
      <c r="BQ21" s="50"/>
      <c r="BR21" s="50"/>
      <c r="BS21" s="52">
        <f t="shared" si="20"/>
        <v>0</v>
      </c>
      <c r="BT21" s="50"/>
      <c r="BU21" s="50"/>
      <c r="BV21" s="52">
        <f t="shared" si="21"/>
        <v>0</v>
      </c>
      <c r="BW21" s="36">
        <f t="shared" si="23"/>
        <v>0</v>
      </c>
      <c r="BX21" s="36">
        <f t="shared" si="23"/>
        <v>0</v>
      </c>
      <c r="BY21" s="36">
        <f t="shared" si="24"/>
        <v>0</v>
      </c>
      <c r="BZ21" s="36">
        <f t="shared" si="25"/>
        <v>0</v>
      </c>
      <c r="CA21" s="36">
        <f t="shared" si="25"/>
        <v>0</v>
      </c>
      <c r="CB21" s="36">
        <f t="shared" si="26"/>
        <v>0</v>
      </c>
      <c r="CC21" s="16">
        <f>+CB21+CB22+CB24-CB61-CB63</f>
        <v>0</v>
      </c>
    </row>
    <row r="22" spans="1:82" s="15" customFormat="1" outlineLevel="1" x14ac:dyDescent="0.2">
      <c r="A22" s="33">
        <v>212</v>
      </c>
      <c r="B22" s="49" t="s">
        <v>37</v>
      </c>
      <c r="C22" s="50"/>
      <c r="D22" s="50"/>
      <c r="E22" s="52">
        <f t="shared" si="22"/>
        <v>0</v>
      </c>
      <c r="F22" s="48"/>
      <c r="G22" s="50"/>
      <c r="H22" s="52">
        <f t="shared" si="27"/>
        <v>0</v>
      </c>
      <c r="I22" s="50"/>
      <c r="J22" s="50"/>
      <c r="K22" s="52">
        <f t="shared" si="0"/>
        <v>0</v>
      </c>
      <c r="L22" s="48"/>
      <c r="M22" s="50"/>
      <c r="N22" s="52">
        <f t="shared" si="1"/>
        <v>0</v>
      </c>
      <c r="O22" s="50">
        <f>1500000+560000</f>
        <v>2060000</v>
      </c>
      <c r="P22" s="50"/>
      <c r="Q22" s="52">
        <f t="shared" si="2"/>
        <v>2060000</v>
      </c>
      <c r="R22" s="48"/>
      <c r="S22" s="50"/>
      <c r="T22" s="52">
        <f t="shared" si="3"/>
        <v>0</v>
      </c>
      <c r="U22" s="50"/>
      <c r="V22" s="50"/>
      <c r="W22" s="52">
        <f t="shared" si="4"/>
        <v>0</v>
      </c>
      <c r="X22" s="48"/>
      <c r="Y22" s="50"/>
      <c r="Z22" s="52">
        <f t="shared" si="5"/>
        <v>0</v>
      </c>
      <c r="AA22" s="50">
        <v>72000</v>
      </c>
      <c r="AB22" s="50"/>
      <c r="AC22" s="52">
        <f t="shared" si="6"/>
        <v>72000</v>
      </c>
      <c r="AD22" s="48"/>
      <c r="AE22" s="50"/>
      <c r="AF22" s="52">
        <f t="shared" si="7"/>
        <v>0</v>
      </c>
      <c r="AG22" s="50">
        <v>8000</v>
      </c>
      <c r="AH22" s="50"/>
      <c r="AI22" s="52">
        <f t="shared" si="8"/>
        <v>8000</v>
      </c>
      <c r="AJ22" s="48"/>
      <c r="AK22" s="50"/>
      <c r="AL22" s="52">
        <f t="shared" si="9"/>
        <v>0</v>
      </c>
      <c r="AM22" s="50">
        <v>241100</v>
      </c>
      <c r="AN22" s="50"/>
      <c r="AO22" s="52">
        <f t="shared" si="10"/>
        <v>241100</v>
      </c>
      <c r="AP22" s="48"/>
      <c r="AQ22" s="50"/>
      <c r="AR22" s="52">
        <f t="shared" si="11"/>
        <v>0</v>
      </c>
      <c r="AS22" s="50"/>
      <c r="AT22" s="50"/>
      <c r="AU22" s="52">
        <f t="shared" si="12"/>
        <v>0</v>
      </c>
      <c r="AV22" s="48"/>
      <c r="AW22" s="50"/>
      <c r="AX22" s="52">
        <f t="shared" si="13"/>
        <v>0</v>
      </c>
      <c r="AY22" s="50"/>
      <c r="AZ22" s="50"/>
      <c r="BA22" s="52">
        <f t="shared" si="14"/>
        <v>0</v>
      </c>
      <c r="BB22" s="50"/>
      <c r="BC22" s="50"/>
      <c r="BD22" s="52">
        <f t="shared" si="15"/>
        <v>0</v>
      </c>
      <c r="BE22" s="50"/>
      <c r="BF22" s="50"/>
      <c r="BG22" s="52">
        <f t="shared" si="16"/>
        <v>0</v>
      </c>
      <c r="BH22" s="50"/>
      <c r="BI22" s="50"/>
      <c r="BJ22" s="52">
        <f t="shared" si="17"/>
        <v>0</v>
      </c>
      <c r="BK22" s="50"/>
      <c r="BL22" s="50"/>
      <c r="BM22" s="52">
        <f t="shared" si="18"/>
        <v>0</v>
      </c>
      <c r="BN22" s="48"/>
      <c r="BO22" s="50"/>
      <c r="BP22" s="52">
        <f t="shared" si="19"/>
        <v>0</v>
      </c>
      <c r="BQ22" s="50"/>
      <c r="BR22" s="50"/>
      <c r="BS22" s="52">
        <f t="shared" si="20"/>
        <v>0</v>
      </c>
      <c r="BT22" s="50"/>
      <c r="BU22" s="50"/>
      <c r="BV22" s="52">
        <f t="shared" si="21"/>
        <v>0</v>
      </c>
      <c r="BW22" s="36">
        <f t="shared" si="23"/>
        <v>2381100</v>
      </c>
      <c r="BX22" s="36">
        <f t="shared" si="23"/>
        <v>0</v>
      </c>
      <c r="BY22" s="36">
        <f t="shared" si="24"/>
        <v>2381100</v>
      </c>
      <c r="BZ22" s="36">
        <f t="shared" si="25"/>
        <v>0</v>
      </c>
      <c r="CA22" s="36">
        <f t="shared" si="25"/>
        <v>0</v>
      </c>
      <c r="CB22" s="36">
        <f t="shared" si="26"/>
        <v>0</v>
      </c>
    </row>
    <row r="23" spans="1:82" s="44" customFormat="1" ht="24" outlineLevel="1" x14ac:dyDescent="0.2">
      <c r="A23" s="38"/>
      <c r="B23" s="39" t="s">
        <v>38</v>
      </c>
      <c r="C23" s="40"/>
      <c r="D23" s="40"/>
      <c r="E23" s="41">
        <f t="shared" si="22"/>
        <v>0</v>
      </c>
      <c r="F23" s="40"/>
      <c r="G23" s="40"/>
      <c r="H23" s="41">
        <f t="shared" si="27"/>
        <v>0</v>
      </c>
      <c r="I23" s="40"/>
      <c r="J23" s="40"/>
      <c r="K23" s="41">
        <f t="shared" si="0"/>
        <v>0</v>
      </c>
      <c r="L23" s="40"/>
      <c r="M23" s="40"/>
      <c r="N23" s="41">
        <f t="shared" si="1"/>
        <v>0</v>
      </c>
      <c r="O23" s="40"/>
      <c r="P23" s="40"/>
      <c r="Q23" s="41">
        <f t="shared" si="2"/>
        <v>0</v>
      </c>
      <c r="R23" s="40"/>
      <c r="S23" s="40"/>
      <c r="T23" s="41">
        <f t="shared" si="3"/>
        <v>0</v>
      </c>
      <c r="U23" s="40"/>
      <c r="V23" s="40"/>
      <c r="W23" s="41">
        <f t="shared" si="4"/>
        <v>0</v>
      </c>
      <c r="X23" s="40"/>
      <c r="Y23" s="40"/>
      <c r="Z23" s="41">
        <f t="shared" si="5"/>
        <v>0</v>
      </c>
      <c r="AA23" s="40"/>
      <c r="AB23" s="40"/>
      <c r="AC23" s="41">
        <f t="shared" si="6"/>
        <v>0</v>
      </c>
      <c r="AD23" s="40"/>
      <c r="AE23" s="40"/>
      <c r="AF23" s="41">
        <f t="shared" si="7"/>
        <v>0</v>
      </c>
      <c r="AG23" s="40"/>
      <c r="AH23" s="40"/>
      <c r="AI23" s="41">
        <f t="shared" si="8"/>
        <v>0</v>
      </c>
      <c r="AJ23" s="40"/>
      <c r="AK23" s="40"/>
      <c r="AL23" s="41">
        <f t="shared" si="9"/>
        <v>0</v>
      </c>
      <c r="AM23" s="40"/>
      <c r="AN23" s="40"/>
      <c r="AO23" s="41">
        <f t="shared" si="10"/>
        <v>0</v>
      </c>
      <c r="AP23" s="40"/>
      <c r="AQ23" s="40"/>
      <c r="AR23" s="41">
        <f t="shared" si="11"/>
        <v>0</v>
      </c>
      <c r="AS23" s="40"/>
      <c r="AT23" s="40"/>
      <c r="AU23" s="41">
        <f t="shared" si="12"/>
        <v>0</v>
      </c>
      <c r="AV23" s="40"/>
      <c r="AW23" s="40"/>
      <c r="AX23" s="41">
        <f t="shared" si="13"/>
        <v>0</v>
      </c>
      <c r="AY23" s="40"/>
      <c r="AZ23" s="40"/>
      <c r="BA23" s="41">
        <f t="shared" si="14"/>
        <v>0</v>
      </c>
      <c r="BB23" s="40"/>
      <c r="BC23" s="40"/>
      <c r="BD23" s="41">
        <f t="shared" si="15"/>
        <v>0</v>
      </c>
      <c r="BE23" s="40"/>
      <c r="BF23" s="40"/>
      <c r="BG23" s="41">
        <f t="shared" si="16"/>
        <v>0</v>
      </c>
      <c r="BH23" s="40"/>
      <c r="BI23" s="40"/>
      <c r="BJ23" s="41">
        <f t="shared" si="17"/>
        <v>0</v>
      </c>
      <c r="BK23" s="40"/>
      <c r="BL23" s="40"/>
      <c r="BM23" s="41">
        <f t="shared" si="18"/>
        <v>0</v>
      </c>
      <c r="BN23" s="40"/>
      <c r="BO23" s="40"/>
      <c r="BP23" s="41">
        <f t="shared" si="19"/>
        <v>0</v>
      </c>
      <c r="BQ23" s="40"/>
      <c r="BR23" s="40"/>
      <c r="BS23" s="41">
        <f t="shared" si="20"/>
        <v>0</v>
      </c>
      <c r="BT23" s="40"/>
      <c r="BU23" s="40"/>
      <c r="BV23" s="41">
        <f t="shared" si="21"/>
        <v>0</v>
      </c>
      <c r="BW23" s="43">
        <f t="shared" si="23"/>
        <v>0</v>
      </c>
      <c r="BX23" s="43">
        <f t="shared" si="23"/>
        <v>0</v>
      </c>
      <c r="BY23" s="43">
        <f t="shared" si="24"/>
        <v>0</v>
      </c>
      <c r="BZ23" s="43">
        <f t="shared" si="25"/>
        <v>0</v>
      </c>
      <c r="CA23" s="43">
        <f t="shared" si="25"/>
        <v>0</v>
      </c>
      <c r="CB23" s="43">
        <f t="shared" si="26"/>
        <v>0</v>
      </c>
    </row>
    <row r="24" spans="1:82" s="15" customFormat="1" outlineLevel="1" x14ac:dyDescent="0.2">
      <c r="A24" s="33">
        <v>213</v>
      </c>
      <c r="B24" s="49" t="s">
        <v>39</v>
      </c>
      <c r="C24" s="50"/>
      <c r="D24" s="50"/>
      <c r="E24" s="52">
        <f t="shared" si="22"/>
        <v>0</v>
      </c>
      <c r="F24" s="50"/>
      <c r="G24" s="50"/>
      <c r="H24" s="52">
        <f t="shared" si="27"/>
        <v>0</v>
      </c>
      <c r="I24" s="50"/>
      <c r="J24" s="50"/>
      <c r="K24" s="52">
        <f t="shared" si="0"/>
        <v>0</v>
      </c>
      <c r="L24" s="50"/>
      <c r="M24" s="50"/>
      <c r="N24" s="52">
        <f t="shared" si="1"/>
        <v>0</v>
      </c>
      <c r="O24" s="50"/>
      <c r="P24" s="50"/>
      <c r="Q24" s="52">
        <f t="shared" si="2"/>
        <v>0</v>
      </c>
      <c r="R24" s="50"/>
      <c r="S24" s="50"/>
      <c r="T24" s="52">
        <f t="shared" si="3"/>
        <v>0</v>
      </c>
      <c r="U24" s="50"/>
      <c r="V24" s="50"/>
      <c r="W24" s="52">
        <f t="shared" si="4"/>
        <v>0</v>
      </c>
      <c r="X24" s="50"/>
      <c r="Y24" s="50"/>
      <c r="Z24" s="52">
        <f t="shared" si="5"/>
        <v>0</v>
      </c>
      <c r="AA24" s="50"/>
      <c r="AB24" s="50"/>
      <c r="AC24" s="52">
        <f t="shared" si="6"/>
        <v>0</v>
      </c>
      <c r="AD24" s="50"/>
      <c r="AE24" s="50"/>
      <c r="AF24" s="52">
        <f t="shared" si="7"/>
        <v>0</v>
      </c>
      <c r="AG24" s="50"/>
      <c r="AH24" s="50"/>
      <c r="AI24" s="52">
        <f t="shared" si="8"/>
        <v>0</v>
      </c>
      <c r="AJ24" s="50"/>
      <c r="AK24" s="50"/>
      <c r="AL24" s="52">
        <f t="shared" si="9"/>
        <v>0</v>
      </c>
      <c r="AM24" s="50"/>
      <c r="AN24" s="50"/>
      <c r="AO24" s="52">
        <f t="shared" si="10"/>
        <v>0</v>
      </c>
      <c r="AP24" s="50"/>
      <c r="AQ24" s="50"/>
      <c r="AR24" s="52">
        <f t="shared" si="11"/>
        <v>0</v>
      </c>
      <c r="AS24" s="50"/>
      <c r="AT24" s="50">
        <v>2500</v>
      </c>
      <c r="AU24" s="52">
        <f t="shared" si="12"/>
        <v>2500</v>
      </c>
      <c r="AV24" s="50"/>
      <c r="AW24" s="50"/>
      <c r="AX24" s="52">
        <f t="shared" si="13"/>
        <v>0</v>
      </c>
      <c r="AY24" s="50"/>
      <c r="AZ24" s="50"/>
      <c r="BA24" s="52">
        <f t="shared" si="14"/>
        <v>0</v>
      </c>
      <c r="BB24" s="50"/>
      <c r="BC24" s="50"/>
      <c r="BD24" s="52">
        <f t="shared" si="15"/>
        <v>0</v>
      </c>
      <c r="BE24" s="50"/>
      <c r="BF24" s="50"/>
      <c r="BG24" s="52">
        <f t="shared" si="16"/>
        <v>0</v>
      </c>
      <c r="BH24" s="50"/>
      <c r="BI24" s="50"/>
      <c r="BJ24" s="52">
        <f t="shared" si="17"/>
        <v>0</v>
      </c>
      <c r="BK24" s="50"/>
      <c r="BL24" s="50"/>
      <c r="BM24" s="52">
        <f t="shared" si="18"/>
        <v>0</v>
      </c>
      <c r="BN24" s="50"/>
      <c r="BO24" s="50"/>
      <c r="BP24" s="52">
        <f t="shared" si="19"/>
        <v>0</v>
      </c>
      <c r="BQ24" s="50"/>
      <c r="BR24" s="50"/>
      <c r="BS24" s="52">
        <f t="shared" si="20"/>
        <v>0</v>
      </c>
      <c r="BT24" s="50"/>
      <c r="BU24" s="50"/>
      <c r="BV24" s="52">
        <f t="shared" si="21"/>
        <v>0</v>
      </c>
      <c r="BW24" s="36">
        <f t="shared" si="23"/>
        <v>0</v>
      </c>
      <c r="BX24" s="36">
        <f t="shared" si="23"/>
        <v>2500</v>
      </c>
      <c r="BY24" s="36">
        <f t="shared" si="24"/>
        <v>2500</v>
      </c>
      <c r="BZ24" s="36">
        <f t="shared" si="25"/>
        <v>0</v>
      </c>
      <c r="CA24" s="36">
        <f t="shared" si="25"/>
        <v>0</v>
      </c>
      <c r="CB24" s="36">
        <f t="shared" si="26"/>
        <v>0</v>
      </c>
    </row>
    <row r="25" spans="1:82" s="44" customFormat="1" ht="24" outlineLevel="1" x14ac:dyDescent="0.2">
      <c r="A25" s="38"/>
      <c r="B25" s="39" t="s">
        <v>40</v>
      </c>
      <c r="C25" s="40"/>
      <c r="D25" s="40"/>
      <c r="E25" s="41">
        <f t="shared" si="22"/>
        <v>0</v>
      </c>
      <c r="F25" s="40"/>
      <c r="G25" s="40"/>
      <c r="H25" s="41">
        <f t="shared" si="27"/>
        <v>0</v>
      </c>
      <c r="I25" s="40"/>
      <c r="J25" s="40"/>
      <c r="K25" s="41">
        <f t="shared" si="0"/>
        <v>0</v>
      </c>
      <c r="L25" s="40"/>
      <c r="M25" s="40"/>
      <c r="N25" s="41">
        <f t="shared" si="1"/>
        <v>0</v>
      </c>
      <c r="O25" s="40"/>
      <c r="P25" s="40"/>
      <c r="Q25" s="41">
        <f t="shared" si="2"/>
        <v>0</v>
      </c>
      <c r="R25" s="40"/>
      <c r="S25" s="40"/>
      <c r="T25" s="41">
        <f t="shared" si="3"/>
        <v>0</v>
      </c>
      <c r="U25" s="40"/>
      <c r="V25" s="40"/>
      <c r="W25" s="41">
        <f t="shared" si="4"/>
        <v>0</v>
      </c>
      <c r="X25" s="40"/>
      <c r="Y25" s="40"/>
      <c r="Z25" s="41">
        <f t="shared" si="5"/>
        <v>0</v>
      </c>
      <c r="AA25" s="40"/>
      <c r="AB25" s="40"/>
      <c r="AC25" s="41">
        <f t="shared" si="6"/>
        <v>0</v>
      </c>
      <c r="AD25" s="40"/>
      <c r="AE25" s="40"/>
      <c r="AF25" s="41">
        <f t="shared" si="7"/>
        <v>0</v>
      </c>
      <c r="AG25" s="40"/>
      <c r="AH25" s="40"/>
      <c r="AI25" s="41">
        <f t="shared" si="8"/>
        <v>0</v>
      </c>
      <c r="AJ25" s="40"/>
      <c r="AK25" s="40"/>
      <c r="AL25" s="41">
        <f t="shared" si="9"/>
        <v>0</v>
      </c>
      <c r="AM25" s="40"/>
      <c r="AN25" s="40"/>
      <c r="AO25" s="41">
        <f t="shared" si="10"/>
        <v>0</v>
      </c>
      <c r="AP25" s="40"/>
      <c r="AQ25" s="40"/>
      <c r="AR25" s="41">
        <f t="shared" si="11"/>
        <v>0</v>
      </c>
      <c r="AS25" s="40"/>
      <c r="AT25" s="40"/>
      <c r="AU25" s="41">
        <f t="shared" si="12"/>
        <v>0</v>
      </c>
      <c r="AV25" s="40"/>
      <c r="AW25" s="40"/>
      <c r="AX25" s="41">
        <f t="shared" si="13"/>
        <v>0</v>
      </c>
      <c r="AY25" s="40"/>
      <c r="AZ25" s="40"/>
      <c r="BA25" s="41">
        <f t="shared" si="14"/>
        <v>0</v>
      </c>
      <c r="BB25" s="40"/>
      <c r="BC25" s="40"/>
      <c r="BD25" s="41">
        <f t="shared" si="15"/>
        <v>0</v>
      </c>
      <c r="BE25" s="40"/>
      <c r="BF25" s="40"/>
      <c r="BG25" s="41">
        <f t="shared" si="16"/>
        <v>0</v>
      </c>
      <c r="BH25" s="40"/>
      <c r="BI25" s="40"/>
      <c r="BJ25" s="41">
        <f t="shared" si="17"/>
        <v>0</v>
      </c>
      <c r="BK25" s="40"/>
      <c r="BL25" s="40"/>
      <c r="BM25" s="41">
        <f t="shared" si="18"/>
        <v>0</v>
      </c>
      <c r="BN25" s="40"/>
      <c r="BO25" s="40"/>
      <c r="BP25" s="41">
        <f t="shared" si="19"/>
        <v>0</v>
      </c>
      <c r="BQ25" s="40"/>
      <c r="BR25" s="40"/>
      <c r="BS25" s="41">
        <f t="shared" si="20"/>
        <v>0</v>
      </c>
      <c r="BT25" s="40"/>
      <c r="BU25" s="40"/>
      <c r="BV25" s="41">
        <f t="shared" si="21"/>
        <v>0</v>
      </c>
      <c r="BW25" s="43">
        <f t="shared" si="23"/>
        <v>0</v>
      </c>
      <c r="BX25" s="43">
        <f t="shared" si="23"/>
        <v>0</v>
      </c>
      <c r="BY25" s="43">
        <f t="shared" si="24"/>
        <v>0</v>
      </c>
      <c r="BZ25" s="43">
        <f t="shared" si="25"/>
        <v>0</v>
      </c>
      <c r="CA25" s="43">
        <f t="shared" si="25"/>
        <v>0</v>
      </c>
      <c r="CB25" s="43">
        <f t="shared" si="26"/>
        <v>0</v>
      </c>
    </row>
    <row r="26" spans="1:82" s="15" customFormat="1" ht="25.5" outlineLevel="1" x14ac:dyDescent="0.2">
      <c r="A26" s="33">
        <v>214</v>
      </c>
      <c r="B26" s="49" t="s">
        <v>41</v>
      </c>
      <c r="C26" s="50"/>
      <c r="D26" s="50"/>
      <c r="E26" s="52">
        <f t="shared" si="22"/>
        <v>0</v>
      </c>
      <c r="F26" s="50"/>
      <c r="G26" s="50"/>
      <c r="H26" s="52"/>
      <c r="I26" s="50"/>
      <c r="J26" s="50"/>
      <c r="K26" s="52">
        <f t="shared" si="0"/>
        <v>0</v>
      </c>
      <c r="L26" s="50"/>
      <c r="M26" s="50"/>
      <c r="N26" s="52">
        <f t="shared" si="1"/>
        <v>0</v>
      </c>
      <c r="O26" s="50"/>
      <c r="P26" s="50"/>
      <c r="Q26" s="52">
        <f t="shared" si="2"/>
        <v>0</v>
      </c>
      <c r="R26" s="50"/>
      <c r="S26" s="50"/>
      <c r="T26" s="52">
        <f t="shared" si="3"/>
        <v>0</v>
      </c>
      <c r="U26" s="50"/>
      <c r="V26" s="50"/>
      <c r="W26" s="52">
        <f t="shared" si="4"/>
        <v>0</v>
      </c>
      <c r="X26" s="50"/>
      <c r="Y26" s="50"/>
      <c r="Z26" s="52">
        <f t="shared" si="5"/>
        <v>0</v>
      </c>
      <c r="AA26" s="50"/>
      <c r="AB26" s="50"/>
      <c r="AC26" s="52">
        <f t="shared" si="6"/>
        <v>0</v>
      </c>
      <c r="AD26" s="50"/>
      <c r="AE26" s="50"/>
      <c r="AF26" s="52">
        <f t="shared" si="7"/>
        <v>0</v>
      </c>
      <c r="AG26" s="50"/>
      <c r="AH26" s="50"/>
      <c r="AI26" s="52">
        <f t="shared" si="8"/>
        <v>0</v>
      </c>
      <c r="AJ26" s="50"/>
      <c r="AK26" s="50"/>
      <c r="AL26" s="52">
        <f t="shared" si="9"/>
        <v>0</v>
      </c>
      <c r="AM26" s="50"/>
      <c r="AN26" s="50"/>
      <c r="AO26" s="52">
        <f t="shared" si="10"/>
        <v>0</v>
      </c>
      <c r="AP26" s="50"/>
      <c r="AQ26" s="50"/>
      <c r="AR26" s="52">
        <f t="shared" si="11"/>
        <v>0</v>
      </c>
      <c r="AS26" s="50"/>
      <c r="AT26" s="50"/>
      <c r="AU26" s="52">
        <f t="shared" si="12"/>
        <v>0</v>
      </c>
      <c r="AV26" s="50"/>
      <c r="AW26" s="50"/>
      <c r="AX26" s="52">
        <f t="shared" si="13"/>
        <v>0</v>
      </c>
      <c r="AY26" s="50"/>
      <c r="AZ26" s="50"/>
      <c r="BA26" s="52">
        <f t="shared" si="14"/>
        <v>0</v>
      </c>
      <c r="BB26" s="50"/>
      <c r="BC26" s="50"/>
      <c r="BD26" s="52">
        <f t="shared" si="15"/>
        <v>0</v>
      </c>
      <c r="BE26" s="50"/>
      <c r="BF26" s="50"/>
      <c r="BG26" s="52">
        <f t="shared" si="16"/>
        <v>0</v>
      </c>
      <c r="BH26" s="50"/>
      <c r="BI26" s="50"/>
      <c r="BJ26" s="52">
        <f t="shared" si="17"/>
        <v>0</v>
      </c>
      <c r="BK26" s="50"/>
      <c r="BL26" s="50"/>
      <c r="BM26" s="52">
        <f t="shared" si="18"/>
        <v>0</v>
      </c>
      <c r="BN26" s="50"/>
      <c r="BO26" s="50"/>
      <c r="BP26" s="52">
        <f t="shared" si="19"/>
        <v>0</v>
      </c>
      <c r="BQ26" s="50"/>
      <c r="BR26" s="50"/>
      <c r="BS26" s="52">
        <f t="shared" si="20"/>
        <v>0</v>
      </c>
      <c r="BT26" s="50"/>
      <c r="BU26" s="50"/>
      <c r="BV26" s="52">
        <f t="shared" si="21"/>
        <v>0</v>
      </c>
      <c r="BW26" s="36">
        <f t="shared" si="23"/>
        <v>0</v>
      </c>
      <c r="BX26" s="36">
        <f t="shared" si="23"/>
        <v>0</v>
      </c>
      <c r="BY26" s="36">
        <f t="shared" si="24"/>
        <v>0</v>
      </c>
      <c r="BZ26" s="36">
        <f t="shared" si="25"/>
        <v>0</v>
      </c>
      <c r="CA26" s="36">
        <f t="shared" si="25"/>
        <v>0</v>
      </c>
      <c r="CB26" s="36">
        <f t="shared" si="26"/>
        <v>0</v>
      </c>
    </row>
    <row r="27" spans="1:82" s="15" customFormat="1" outlineLevel="1" x14ac:dyDescent="0.2">
      <c r="A27" s="33">
        <v>311</v>
      </c>
      <c r="B27" s="49" t="s">
        <v>42</v>
      </c>
      <c r="C27" s="50"/>
      <c r="D27" s="50"/>
      <c r="E27" s="52">
        <f t="shared" si="22"/>
        <v>0</v>
      </c>
      <c r="F27" s="50"/>
      <c r="G27" s="50"/>
      <c r="H27" s="52">
        <f t="shared" si="27"/>
        <v>0</v>
      </c>
      <c r="I27" s="50"/>
      <c r="J27" s="50"/>
      <c r="K27" s="52">
        <f t="shared" si="0"/>
        <v>0</v>
      </c>
      <c r="L27" s="50"/>
      <c r="M27" s="50"/>
      <c r="N27" s="52">
        <f t="shared" si="1"/>
        <v>0</v>
      </c>
      <c r="O27" s="50"/>
      <c r="P27" s="50"/>
      <c r="Q27" s="52">
        <f t="shared" si="2"/>
        <v>0</v>
      </c>
      <c r="R27" s="50"/>
      <c r="S27" s="50"/>
      <c r="T27" s="52">
        <f t="shared" si="3"/>
        <v>0</v>
      </c>
      <c r="U27" s="50"/>
      <c r="V27" s="50"/>
      <c r="W27" s="52">
        <f t="shared" si="4"/>
        <v>0</v>
      </c>
      <c r="X27" s="50"/>
      <c r="Y27" s="50"/>
      <c r="Z27" s="52">
        <f t="shared" si="5"/>
        <v>0</v>
      </c>
      <c r="AA27" s="50"/>
      <c r="AB27" s="50"/>
      <c r="AC27" s="52">
        <f t="shared" si="6"/>
        <v>0</v>
      </c>
      <c r="AD27" s="50"/>
      <c r="AE27" s="50"/>
      <c r="AF27" s="52">
        <f t="shared" si="7"/>
        <v>0</v>
      </c>
      <c r="AG27" s="50"/>
      <c r="AH27" s="50"/>
      <c r="AI27" s="52">
        <f t="shared" si="8"/>
        <v>0</v>
      </c>
      <c r="AJ27" s="50"/>
      <c r="AK27" s="50"/>
      <c r="AL27" s="52">
        <f t="shared" si="9"/>
        <v>0</v>
      </c>
      <c r="AM27" s="50"/>
      <c r="AN27" s="50"/>
      <c r="AO27" s="52">
        <f t="shared" si="10"/>
        <v>0</v>
      </c>
      <c r="AP27" s="50"/>
      <c r="AQ27" s="50"/>
      <c r="AR27" s="52">
        <f t="shared" si="11"/>
        <v>0</v>
      </c>
      <c r="AS27" s="50"/>
      <c r="AT27" s="50"/>
      <c r="AU27" s="52">
        <f t="shared" si="12"/>
        <v>0</v>
      </c>
      <c r="AV27" s="50"/>
      <c r="AW27" s="50"/>
      <c r="AX27" s="52">
        <f t="shared" si="13"/>
        <v>0</v>
      </c>
      <c r="AY27" s="50"/>
      <c r="AZ27" s="50"/>
      <c r="BA27" s="52">
        <f t="shared" si="14"/>
        <v>0</v>
      </c>
      <c r="BB27" s="50"/>
      <c r="BC27" s="50"/>
      <c r="BD27" s="52">
        <f t="shared" si="15"/>
        <v>0</v>
      </c>
      <c r="BE27" s="50"/>
      <c r="BF27" s="50"/>
      <c r="BG27" s="52">
        <f t="shared" si="16"/>
        <v>0</v>
      </c>
      <c r="BH27" s="50"/>
      <c r="BI27" s="50"/>
      <c r="BJ27" s="52">
        <f t="shared" si="17"/>
        <v>0</v>
      </c>
      <c r="BK27" s="50"/>
      <c r="BL27" s="50"/>
      <c r="BM27" s="52">
        <f t="shared" si="18"/>
        <v>0</v>
      </c>
      <c r="BN27" s="50"/>
      <c r="BO27" s="50"/>
      <c r="BP27" s="52">
        <f t="shared" si="19"/>
        <v>0</v>
      </c>
      <c r="BQ27" s="50"/>
      <c r="BR27" s="50"/>
      <c r="BS27" s="52">
        <f t="shared" si="20"/>
        <v>0</v>
      </c>
      <c r="BT27" s="50"/>
      <c r="BU27" s="50"/>
      <c r="BV27" s="52">
        <f t="shared" si="21"/>
        <v>0</v>
      </c>
      <c r="BW27" s="36">
        <f t="shared" si="23"/>
        <v>0</v>
      </c>
      <c r="BX27" s="36">
        <f t="shared" si="23"/>
        <v>0</v>
      </c>
      <c r="BY27" s="36">
        <f t="shared" si="24"/>
        <v>0</v>
      </c>
      <c r="BZ27" s="36">
        <f t="shared" si="25"/>
        <v>0</v>
      </c>
      <c r="CA27" s="36">
        <f t="shared" si="25"/>
        <v>0</v>
      </c>
      <c r="CB27" s="36">
        <f t="shared" si="26"/>
        <v>0</v>
      </c>
    </row>
    <row r="28" spans="1:82" s="15" customFormat="1" outlineLevel="1" x14ac:dyDescent="0.2">
      <c r="A28" s="33">
        <v>318</v>
      </c>
      <c r="B28" s="49" t="s">
        <v>43</v>
      </c>
      <c r="C28" s="50"/>
      <c r="D28" s="50"/>
      <c r="E28" s="52">
        <f t="shared" si="22"/>
        <v>0</v>
      </c>
      <c r="F28" s="50"/>
      <c r="G28" s="50"/>
      <c r="H28" s="52">
        <f t="shared" si="27"/>
        <v>0</v>
      </c>
      <c r="I28" s="50"/>
      <c r="J28" s="50"/>
      <c r="K28" s="52">
        <f t="shared" si="0"/>
        <v>0</v>
      </c>
      <c r="L28" s="50"/>
      <c r="M28" s="50"/>
      <c r="N28" s="52">
        <f t="shared" si="1"/>
        <v>0</v>
      </c>
      <c r="O28" s="50"/>
      <c r="P28" s="50"/>
      <c r="Q28" s="52">
        <f t="shared" si="2"/>
        <v>0</v>
      </c>
      <c r="R28" s="50"/>
      <c r="S28" s="50"/>
      <c r="T28" s="52">
        <f t="shared" si="3"/>
        <v>0</v>
      </c>
      <c r="U28" s="50"/>
      <c r="V28" s="50"/>
      <c r="W28" s="52">
        <f t="shared" si="4"/>
        <v>0</v>
      </c>
      <c r="X28" s="50"/>
      <c r="Y28" s="50"/>
      <c r="Z28" s="52">
        <f t="shared" si="5"/>
        <v>0</v>
      </c>
      <c r="AA28" s="50"/>
      <c r="AB28" s="50"/>
      <c r="AC28" s="52">
        <f t="shared" si="6"/>
        <v>0</v>
      </c>
      <c r="AD28" s="50"/>
      <c r="AE28" s="50"/>
      <c r="AF28" s="52">
        <f t="shared" si="7"/>
        <v>0</v>
      </c>
      <c r="AG28" s="50"/>
      <c r="AH28" s="50"/>
      <c r="AI28" s="52">
        <f t="shared" si="8"/>
        <v>0</v>
      </c>
      <c r="AJ28" s="50"/>
      <c r="AK28" s="50"/>
      <c r="AL28" s="52">
        <f t="shared" si="9"/>
        <v>0</v>
      </c>
      <c r="AM28" s="50"/>
      <c r="AN28" s="50"/>
      <c r="AO28" s="52">
        <f t="shared" si="10"/>
        <v>0</v>
      </c>
      <c r="AP28" s="50"/>
      <c r="AQ28" s="50"/>
      <c r="AR28" s="52">
        <f t="shared" si="11"/>
        <v>0</v>
      </c>
      <c r="AS28" s="50"/>
      <c r="AT28" s="50"/>
      <c r="AU28" s="52">
        <f t="shared" si="12"/>
        <v>0</v>
      </c>
      <c r="AV28" s="50"/>
      <c r="AW28" s="50"/>
      <c r="AX28" s="52">
        <f t="shared" si="13"/>
        <v>0</v>
      </c>
      <c r="AY28" s="50"/>
      <c r="AZ28" s="50"/>
      <c r="BA28" s="52">
        <f t="shared" si="14"/>
        <v>0</v>
      </c>
      <c r="BB28" s="50"/>
      <c r="BC28" s="50"/>
      <c r="BD28" s="52">
        <f t="shared" si="15"/>
        <v>0</v>
      </c>
      <c r="BE28" s="50"/>
      <c r="BF28" s="50"/>
      <c r="BG28" s="52">
        <f t="shared" si="16"/>
        <v>0</v>
      </c>
      <c r="BH28" s="50"/>
      <c r="BI28" s="50"/>
      <c r="BJ28" s="52">
        <f t="shared" si="17"/>
        <v>0</v>
      </c>
      <c r="BK28" s="50"/>
      <c r="BL28" s="50"/>
      <c r="BM28" s="52">
        <f t="shared" si="18"/>
        <v>0</v>
      </c>
      <c r="BN28" s="50"/>
      <c r="BO28" s="50"/>
      <c r="BP28" s="52">
        <f t="shared" si="19"/>
        <v>0</v>
      </c>
      <c r="BQ28" s="50"/>
      <c r="BR28" s="50"/>
      <c r="BS28" s="52">
        <f t="shared" si="20"/>
        <v>0</v>
      </c>
      <c r="BT28" s="50"/>
      <c r="BU28" s="50"/>
      <c r="BV28" s="52">
        <f t="shared" si="21"/>
        <v>0</v>
      </c>
      <c r="BW28" s="36">
        <f t="shared" si="23"/>
        <v>0</v>
      </c>
      <c r="BX28" s="36">
        <f t="shared" si="23"/>
        <v>0</v>
      </c>
      <c r="BY28" s="36">
        <f t="shared" si="24"/>
        <v>0</v>
      </c>
      <c r="BZ28" s="36">
        <f t="shared" si="25"/>
        <v>0</v>
      </c>
      <c r="CA28" s="36">
        <f t="shared" si="25"/>
        <v>0</v>
      </c>
      <c r="CB28" s="36">
        <f t="shared" si="26"/>
        <v>0</v>
      </c>
    </row>
    <row r="29" spans="1:82" s="15" customFormat="1" outlineLevel="1" x14ac:dyDescent="0.2">
      <c r="A29" s="33">
        <v>319</v>
      </c>
      <c r="B29" s="49" t="s">
        <v>44</v>
      </c>
      <c r="C29" s="50"/>
      <c r="D29" s="51"/>
      <c r="E29" s="52">
        <f t="shared" si="22"/>
        <v>0</v>
      </c>
      <c r="F29" s="50"/>
      <c r="G29" s="51"/>
      <c r="H29" s="52">
        <f t="shared" si="27"/>
        <v>0</v>
      </c>
      <c r="I29" s="50"/>
      <c r="J29" s="51"/>
      <c r="K29" s="52">
        <f t="shared" si="0"/>
        <v>0</v>
      </c>
      <c r="L29" s="50"/>
      <c r="M29" s="51"/>
      <c r="N29" s="52">
        <f t="shared" si="1"/>
        <v>0</v>
      </c>
      <c r="O29" s="50">
        <v>348840</v>
      </c>
      <c r="P29" s="51"/>
      <c r="Q29" s="52">
        <f t="shared" si="2"/>
        <v>348840</v>
      </c>
      <c r="R29" s="50"/>
      <c r="S29" s="51"/>
      <c r="T29" s="52">
        <f t="shared" si="3"/>
        <v>0</v>
      </c>
      <c r="U29" s="50">
        <f>1239999+2000</f>
        <v>1241999</v>
      </c>
      <c r="V29" s="51"/>
      <c r="W29" s="52">
        <f t="shared" si="4"/>
        <v>1241999</v>
      </c>
      <c r="X29" s="50"/>
      <c r="Y29" s="51"/>
      <c r="Z29" s="52">
        <f t="shared" si="5"/>
        <v>0</v>
      </c>
      <c r="AA29" s="50"/>
      <c r="AB29" s="51"/>
      <c r="AC29" s="52">
        <f t="shared" si="6"/>
        <v>0</v>
      </c>
      <c r="AD29" s="50"/>
      <c r="AE29" s="51"/>
      <c r="AF29" s="52">
        <f t="shared" si="7"/>
        <v>0</v>
      </c>
      <c r="AG29" s="50">
        <v>100000</v>
      </c>
      <c r="AH29" s="51"/>
      <c r="AI29" s="52">
        <f t="shared" si="8"/>
        <v>100000</v>
      </c>
      <c r="AJ29" s="50"/>
      <c r="AK29" s="51"/>
      <c r="AL29" s="52">
        <f t="shared" si="9"/>
        <v>0</v>
      </c>
      <c r="AM29" s="50"/>
      <c r="AN29" s="51"/>
      <c r="AO29" s="52">
        <f t="shared" si="10"/>
        <v>0</v>
      </c>
      <c r="AP29" s="50"/>
      <c r="AQ29" s="51"/>
      <c r="AR29" s="52">
        <f t="shared" si="11"/>
        <v>0</v>
      </c>
      <c r="AS29" s="50">
        <f>53000+16123.2</f>
        <v>69123.199999999997</v>
      </c>
      <c r="AT29" s="51">
        <v>105000</v>
      </c>
      <c r="AU29" s="52">
        <f t="shared" si="12"/>
        <v>174123.2</v>
      </c>
      <c r="AV29" s="50"/>
      <c r="AW29" s="51"/>
      <c r="AX29" s="52">
        <f t="shared" si="13"/>
        <v>0</v>
      </c>
      <c r="AY29" s="50"/>
      <c r="AZ29" s="51"/>
      <c r="BA29" s="52">
        <f t="shared" si="14"/>
        <v>0</v>
      </c>
      <c r="BB29" s="50"/>
      <c r="BC29" s="51"/>
      <c r="BD29" s="52">
        <f t="shared" si="15"/>
        <v>0</v>
      </c>
      <c r="BE29" s="50"/>
      <c r="BF29" s="51"/>
      <c r="BG29" s="52">
        <f t="shared" si="16"/>
        <v>0</v>
      </c>
      <c r="BH29" s="50"/>
      <c r="BI29" s="51"/>
      <c r="BJ29" s="52">
        <f t="shared" si="17"/>
        <v>0</v>
      </c>
      <c r="BK29" s="50"/>
      <c r="BL29" s="51"/>
      <c r="BM29" s="52">
        <f t="shared" si="18"/>
        <v>0</v>
      </c>
      <c r="BN29" s="50"/>
      <c r="BO29" s="51"/>
      <c r="BP29" s="52">
        <f t="shared" si="19"/>
        <v>0</v>
      </c>
      <c r="BQ29" s="50"/>
      <c r="BR29" s="51"/>
      <c r="BS29" s="52">
        <f t="shared" si="20"/>
        <v>0</v>
      </c>
      <c r="BT29" s="50"/>
      <c r="BU29" s="51"/>
      <c r="BV29" s="52">
        <f t="shared" si="21"/>
        <v>0</v>
      </c>
      <c r="BW29" s="36">
        <f t="shared" si="23"/>
        <v>1759962.2</v>
      </c>
      <c r="BX29" s="36">
        <f t="shared" si="23"/>
        <v>105000</v>
      </c>
      <c r="BY29" s="36">
        <f t="shared" si="24"/>
        <v>1864962.2</v>
      </c>
      <c r="BZ29" s="36">
        <f t="shared" si="25"/>
        <v>0</v>
      </c>
      <c r="CA29" s="36">
        <f t="shared" si="25"/>
        <v>0</v>
      </c>
      <c r="CB29" s="36">
        <f t="shared" si="26"/>
        <v>0</v>
      </c>
      <c r="CD29" s="16"/>
    </row>
    <row r="30" spans="1:82" s="57" customFormat="1" x14ac:dyDescent="0.2">
      <c r="A30" s="53"/>
      <c r="B30" s="54" t="s">
        <v>45</v>
      </c>
      <c r="C30" s="55">
        <f>C12+C14+C16+C18+C20+C21+C22+C24+C26+C27+C28+C29</f>
        <v>0</v>
      </c>
      <c r="D30" s="55">
        <f>D12+D14+D16+D18+D20+D21+D22+D24+D26+D27+D28+D29</f>
        <v>0</v>
      </c>
      <c r="E30" s="55">
        <f t="shared" si="22"/>
        <v>0</v>
      </c>
      <c r="F30" s="55">
        <f>F12+F14+F16+F18+F20+F21+F22+F24+F26+F27+F28+F29</f>
        <v>0</v>
      </c>
      <c r="G30" s="55">
        <f>G12+G14+G16+G18+G20+G21+G22+G24+G26+G27+G28+G29</f>
        <v>0</v>
      </c>
      <c r="H30" s="55"/>
      <c r="I30" s="55">
        <f>I12+I14+I16+I18+I20+I21+I22+I24+I26+I27+I28+I29</f>
        <v>0</v>
      </c>
      <c r="J30" s="55">
        <f>J12+J14+J16+J18+J20+J21+J22+J24+J26+J27+J28+J29</f>
        <v>0</v>
      </c>
      <c r="K30" s="55">
        <f t="shared" si="0"/>
        <v>0</v>
      </c>
      <c r="L30" s="55">
        <f>L12+L14+L16+L18+L20+L21+L22+L24+L26+L27+L28+L29</f>
        <v>0</v>
      </c>
      <c r="M30" s="55">
        <f>M12+M14+M16+M18+M20+M21+M22+M24+M26+M27+M28+M29</f>
        <v>0</v>
      </c>
      <c r="N30" s="55">
        <f t="shared" si="1"/>
        <v>0</v>
      </c>
      <c r="O30" s="55">
        <f>O12+O14+O16+O18+O20+O21+O22+O24+O26+O27+O28+O29</f>
        <v>2698105.55</v>
      </c>
      <c r="P30" s="55">
        <f>P12+P14+P16+P18+P20+P21+P22+P24+P26+P27+P28+P29</f>
        <v>268010</v>
      </c>
      <c r="Q30" s="55">
        <f t="shared" si="2"/>
        <v>2966115.55</v>
      </c>
      <c r="R30" s="55">
        <f>R12+R14+R16+R18+R20+R21+R22+R24+R26+R27+R28+R29</f>
        <v>1797000</v>
      </c>
      <c r="S30" s="55">
        <f>S12+S14+S16+S18+S20+S21+S22+S24+S26+S27+S28+S29</f>
        <v>0</v>
      </c>
      <c r="T30" s="55">
        <f t="shared" si="3"/>
        <v>1797000</v>
      </c>
      <c r="U30" s="55">
        <f>U12+U14+U16+U18+U20+U21+U22+U24+U26+U27+U28+U29</f>
        <v>2468718.44</v>
      </c>
      <c r="V30" s="55">
        <f>V12+V14+V16+V18+V20+V21+V22+V24+V26+V27+V28+V29</f>
        <v>545358</v>
      </c>
      <c r="W30" s="55">
        <f t="shared" si="4"/>
        <v>3014076.44</v>
      </c>
      <c r="X30" s="55">
        <f>X12+X14+X16+X18+X20+X21+X22+X24+X26+X27+X28+X29</f>
        <v>68600</v>
      </c>
      <c r="Y30" s="55">
        <f>Y12+Y14+Y16+Y18+Y20+Y21+Y22+Y24+Y26+Y27+Y28+Y29</f>
        <v>0</v>
      </c>
      <c r="Z30" s="55">
        <f t="shared" si="5"/>
        <v>68600</v>
      </c>
      <c r="AA30" s="55">
        <f>AA12+AA14+AA16+AA18+AA20+AA21+AA22+AA24+AA26+AA27+AA28+AA29</f>
        <v>1147820.8700000001</v>
      </c>
      <c r="AB30" s="55">
        <f>AB12+AB14+AB16+AB18+AB20+AB21+AB22+AB24+AB26+AB27+AB28+AB29</f>
        <v>717530</v>
      </c>
      <c r="AC30" s="55">
        <f t="shared" si="6"/>
        <v>1865350.87</v>
      </c>
      <c r="AD30" s="55">
        <f>AD12+AD14+AD16+AD18+AD20+AD21+AD22+AD24+AD26+AD27+AD28+AD29</f>
        <v>0</v>
      </c>
      <c r="AE30" s="55">
        <f>AE12+AE14+AE16+AE18+AE20+AE21+AE22+AE24+AE26+AE27+AE28+AE29</f>
        <v>0</v>
      </c>
      <c r="AF30" s="55">
        <f t="shared" si="7"/>
        <v>0</v>
      </c>
      <c r="AG30" s="55">
        <f>AG12+AG14+AG16+AG18+AG20+AG21+AG22+AG24+AG26+AG27+AG28+AG29</f>
        <v>2899033.33</v>
      </c>
      <c r="AH30" s="55">
        <f>AH12+AH14+AH16+AH18+AH20+AH21+AH22+AH24+AH26+AH27+AH28+AH29</f>
        <v>662378</v>
      </c>
      <c r="AI30" s="55">
        <f t="shared" si="8"/>
        <v>3561411.33</v>
      </c>
      <c r="AJ30" s="55">
        <f>AJ12+AJ14+AJ16+AJ18+AJ20+AJ21+AJ22+AJ24+AJ26+AJ27+AJ28+AJ29</f>
        <v>1957000</v>
      </c>
      <c r="AK30" s="55">
        <f>AK12+AK14+AK16+AK18+AK20+AK21+AK22+AK24+AK26+AK27+AK28+AK29</f>
        <v>0</v>
      </c>
      <c r="AL30" s="55">
        <f t="shared" si="9"/>
        <v>1957000</v>
      </c>
      <c r="AM30" s="55">
        <f>AM12+AM14+AM16+AM18+AM20+AM21+AM22+AM24+AM26+AM27+AM28+AM29</f>
        <v>1196245.5899999999</v>
      </c>
      <c r="AN30" s="55">
        <f>AN12+AN14+AN16+AN18+AN20+AN21+AN22+AN24+AN26+AN27+AN28+AN29</f>
        <v>231375</v>
      </c>
      <c r="AO30" s="55">
        <f t="shared" si="10"/>
        <v>1427620.5899999999</v>
      </c>
      <c r="AP30" s="55">
        <f>AP12+AP14+AP16+AP18+AP20+AP21+AP22+AP24+AP26+AP27+AP28+AP29</f>
        <v>50000</v>
      </c>
      <c r="AQ30" s="55">
        <f>AQ12+AQ14+AQ16+AQ18+AQ20+AQ21+AQ22+AQ24+AQ26+AQ27+AQ28+AQ29</f>
        <v>0</v>
      </c>
      <c r="AR30" s="55">
        <f t="shared" si="11"/>
        <v>50000</v>
      </c>
      <c r="AS30" s="55">
        <f>AS12+AS14+AS16+AS18+AS20+AS21+AS22+AS24+AS26+AS27+AS28+AS29</f>
        <v>333531.7</v>
      </c>
      <c r="AT30" s="55">
        <f>AT12+AT14+AT16+AT18+AT20+AT21+AT22+AT24+AT26+AT27+AT28+AT29</f>
        <v>407092</v>
      </c>
      <c r="AU30" s="55">
        <f t="shared" si="12"/>
        <v>740623.7</v>
      </c>
      <c r="AV30" s="55">
        <f>AV12+AV14+AV16+AV18+AV20+AV21+AV22+AV24+AV26+AV27+AV28+AV29</f>
        <v>528700</v>
      </c>
      <c r="AW30" s="55">
        <f>AW12+AW14+AW16+AW18+AW20+AW21+AW22+AW24+AW26+AW27+AW28+AW29</f>
        <v>0</v>
      </c>
      <c r="AX30" s="55">
        <f t="shared" si="13"/>
        <v>528700</v>
      </c>
      <c r="AY30" s="55">
        <f>AY12+AY14+AY16+AY18+AY20+AY21+AY22+AY24+AY26+AY27+AY28+AY29</f>
        <v>216700</v>
      </c>
      <c r="AZ30" s="55">
        <f>AZ12+AZ14+AZ16+AZ18+AZ20+AZ21+AZ22+AZ24+AZ26+AZ27+AZ28+AZ29</f>
        <v>0</v>
      </c>
      <c r="BA30" s="55">
        <f t="shared" si="14"/>
        <v>216700</v>
      </c>
      <c r="BB30" s="55">
        <f>BB12+BB14+BB16+BB18+BB20+BB21+BB22+BB24+BB26+BB27+BB28+BB29</f>
        <v>216700</v>
      </c>
      <c r="BC30" s="55">
        <f>BC12+BC14+BC16+BC18+BC20+BC21+BC22+BC24+BC26+BC27+BC28+BC29</f>
        <v>0</v>
      </c>
      <c r="BD30" s="55">
        <f t="shared" si="15"/>
        <v>216700</v>
      </c>
      <c r="BE30" s="55">
        <f>BE12+BE14+BE16+BE18+BE20+BE21+BE22+BE24+BE26+BE27+BE28+BE29</f>
        <v>0</v>
      </c>
      <c r="BF30" s="55">
        <f>BF12+BF14+BF16+BF18+BF20+BF21+BF22+BF24+BF26+BF27+BF28+BF29</f>
        <v>0</v>
      </c>
      <c r="BG30" s="55">
        <f t="shared" si="16"/>
        <v>0</v>
      </c>
      <c r="BH30" s="55">
        <f>BH12+BH14+BH16+BH18+BH20+BH21+BH22+BH24+BH26+BH27+BH28+BH29</f>
        <v>0</v>
      </c>
      <c r="BI30" s="55">
        <f>BI12+BI14+BI16+BI18+BI20+BI21+BI22+BI24+BI26+BI27+BI28+BI29</f>
        <v>0</v>
      </c>
      <c r="BJ30" s="55">
        <f t="shared" si="17"/>
        <v>0</v>
      </c>
      <c r="BK30" s="55">
        <f>BK12+BK14+BK16+BK18+BK20+BK21+BK22+BK24+BK26+BK27+BK28+BK29</f>
        <v>0</v>
      </c>
      <c r="BL30" s="55">
        <f>BL12+BL14+BL16+BL18+BL20+BL21+BL22+BL24+BL26+BL27+BL28+BL29</f>
        <v>0</v>
      </c>
      <c r="BM30" s="55">
        <f t="shared" si="18"/>
        <v>0</v>
      </c>
      <c r="BN30" s="55">
        <f>BN12+BN14+BN16+BN18+BN20+BN21+BN22+BN24+BN26+BN27+BN28+BN29</f>
        <v>0</v>
      </c>
      <c r="BO30" s="55">
        <f>BO12+BO14+BO16+BO18+BO20+BO21+BO22+BO24+BO26+BO27+BO28+BO29</f>
        <v>0</v>
      </c>
      <c r="BP30" s="55">
        <f t="shared" si="19"/>
        <v>0</v>
      </c>
      <c r="BQ30" s="55">
        <f>BQ12+BQ14+BQ16+BQ18+BQ20+BQ21+BQ22+BQ24+BQ26+BQ27+BQ28+BQ29</f>
        <v>0</v>
      </c>
      <c r="BR30" s="55">
        <f>BR12+BR14+BR16+BR18+BR20+BR21+BR22+BR24+BR26+BR27+BR28+BR29</f>
        <v>0</v>
      </c>
      <c r="BS30" s="55">
        <f t="shared" si="20"/>
        <v>0</v>
      </c>
      <c r="BT30" s="55">
        <f>BT12+BT14+BT16+BT18+BT20+BT21+BT22+BT24+BT26+BT27+BT28+BT29</f>
        <v>0</v>
      </c>
      <c r="BU30" s="55">
        <f>BU12+BU14+BU16+BU18+BU20+BU21+BU22+BU24+BU26+BU27+BU28+BU29</f>
        <v>0</v>
      </c>
      <c r="BV30" s="55">
        <f t="shared" si="21"/>
        <v>0</v>
      </c>
      <c r="BW30" s="56">
        <f>BW12+BW14+BW16+BW18+BW20+BW21+BW22+BW24+BW26+BW27+BW28+BW29</f>
        <v>10960155.48</v>
      </c>
      <c r="BX30" s="56">
        <f>BX12+BX14+BX16+BX18+BX20+BX21+BX22+BX24+BX26+BX27+BX28+BX29</f>
        <v>2831743</v>
      </c>
      <c r="BY30" s="56">
        <f t="shared" si="24"/>
        <v>13791898.48</v>
      </c>
      <c r="BZ30" s="56">
        <f>BZ12+BZ14+BZ16+BZ18+BZ20+BZ21+BZ22+BZ24+BZ26+BZ27+BZ28+BZ29</f>
        <v>4618000</v>
      </c>
      <c r="CA30" s="56">
        <f>CA12+CA14+CA16+CA18+CA20+CA21+CA22+CA24+CA26+CA27+CA28+CA29</f>
        <v>0</v>
      </c>
      <c r="CB30" s="56">
        <f t="shared" si="26"/>
        <v>4618000</v>
      </c>
    </row>
    <row r="31" spans="1:82" s="15" customFormat="1" ht="15" x14ac:dyDescent="0.2">
      <c r="A31" s="29" t="s">
        <v>46</v>
      </c>
      <c r="B31" s="29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31"/>
      <c r="BX31" s="31"/>
      <c r="BY31" s="31"/>
      <c r="BZ31" s="31"/>
      <c r="CA31" s="31"/>
      <c r="CB31" s="31"/>
    </row>
    <row r="32" spans="1:82" s="15" customFormat="1" outlineLevel="1" x14ac:dyDescent="0.2">
      <c r="A32" s="33">
        <v>121</v>
      </c>
      <c r="B32" s="49" t="s">
        <v>47</v>
      </c>
      <c r="C32" s="50"/>
      <c r="D32" s="50"/>
      <c r="E32" s="52">
        <f t="shared" si="22"/>
        <v>0</v>
      </c>
      <c r="F32" s="48"/>
      <c r="G32" s="50"/>
      <c r="H32" s="52">
        <f t="shared" ref="H32:H70" si="28">F32+G32</f>
        <v>0</v>
      </c>
      <c r="I32" s="48"/>
      <c r="J32" s="48"/>
      <c r="K32" s="52">
        <f t="shared" ref="K32:K70" si="29">I32+J32</f>
        <v>0</v>
      </c>
      <c r="L32" s="48"/>
      <c r="M32" s="50"/>
      <c r="N32" s="52"/>
      <c r="O32" s="50">
        <f>1797000+506881.19</f>
        <v>2303881.19</v>
      </c>
      <c r="P32" s="50"/>
      <c r="Q32" s="52">
        <f t="shared" ref="Q32:Q70" si="30">O32+P32</f>
        <v>2303881.19</v>
      </c>
      <c r="R32" s="48">
        <v>1767918.12</v>
      </c>
      <c r="S32" s="50"/>
      <c r="T32" s="52">
        <f t="shared" ref="T32:T70" si="31">R32+S32</f>
        <v>1767918.12</v>
      </c>
      <c r="U32" s="50">
        <f>860229.62</f>
        <v>860229.62</v>
      </c>
      <c r="V32" s="50"/>
      <c r="W32" s="52">
        <f t="shared" ref="W32:W70" si="32">U32+V32</f>
        <v>860229.62</v>
      </c>
      <c r="X32" s="48">
        <v>17479.349999999999</v>
      </c>
      <c r="Y32" s="50"/>
      <c r="Z32" s="52">
        <f t="shared" ref="Z32:Z70" si="33">X32+Y32</f>
        <v>17479.349999999999</v>
      </c>
      <c r="AA32" s="50">
        <v>815638.73</v>
      </c>
      <c r="AB32" s="50"/>
      <c r="AC32" s="52">
        <f t="shared" ref="AC32:AC70" si="34">AA32+AB32</f>
        <v>815638.73</v>
      </c>
      <c r="AD32" s="48">
        <v>710.64</v>
      </c>
      <c r="AE32" s="50"/>
      <c r="AF32" s="52">
        <f t="shared" ref="AF32:AF70" si="35">AD32+AE32</f>
        <v>710.64</v>
      </c>
      <c r="AG32" s="50">
        <v>2856905.36</v>
      </c>
      <c r="AH32" s="50"/>
      <c r="AI32" s="52">
        <f t="shared" ref="AI32:AI70" si="36">AG32+AH32</f>
        <v>2856905.36</v>
      </c>
      <c r="AJ32" s="48">
        <v>1805551.36</v>
      </c>
      <c r="AK32" s="50"/>
      <c r="AL32" s="52">
        <f t="shared" ref="AL32:AL70" si="37">AJ32+AK32</f>
        <v>1805551.36</v>
      </c>
      <c r="AM32" s="50">
        <v>594998.15</v>
      </c>
      <c r="AN32" s="50"/>
      <c r="AO32" s="52">
        <f t="shared" ref="AO32:AO70" si="38">AM32+AN32</f>
        <v>594998.15</v>
      </c>
      <c r="AP32" s="48">
        <v>12460</v>
      </c>
      <c r="AQ32" s="50"/>
      <c r="AR32" s="52">
        <f t="shared" ref="AR32:AR70" si="39">AP32+AQ32</f>
        <v>12460</v>
      </c>
      <c r="AS32" s="50">
        <v>473810.1</v>
      </c>
      <c r="AT32" s="50"/>
      <c r="AU32" s="52">
        <f t="shared" ref="AU32:AU70" si="40">AS32+AT32</f>
        <v>473810.1</v>
      </c>
      <c r="AV32" s="48">
        <f>1910</f>
        <v>1910</v>
      </c>
      <c r="AW32" s="50"/>
      <c r="AX32" s="52">
        <f t="shared" ref="AX32:AX70" si="41">AV32+AW32</f>
        <v>1910</v>
      </c>
      <c r="AY32" s="50">
        <f>273.5+8564</f>
        <v>8837.5</v>
      </c>
      <c r="AZ32" s="50"/>
      <c r="BA32" s="52">
        <f t="shared" ref="BA32:BA70" si="42">AY32+AZ32</f>
        <v>8837.5</v>
      </c>
      <c r="BB32" s="50">
        <v>8837.5</v>
      </c>
      <c r="BC32" s="50"/>
      <c r="BD32" s="52">
        <f t="shared" ref="BD32:BD70" si="43">BB32+BC32</f>
        <v>8837.5</v>
      </c>
      <c r="BE32" s="50"/>
      <c r="BF32" s="50"/>
      <c r="BG32" s="52">
        <f t="shared" ref="BG32:BG70" si="44">BE32+BF32</f>
        <v>0</v>
      </c>
      <c r="BH32" s="48"/>
      <c r="BI32" s="50"/>
      <c r="BJ32" s="52">
        <f t="shared" ref="BJ32:BJ70" si="45">BH32+BI32</f>
        <v>0</v>
      </c>
      <c r="BK32" s="50"/>
      <c r="BL32" s="50"/>
      <c r="BM32" s="52">
        <f t="shared" ref="BM32:BM70" si="46">BK32+BL32</f>
        <v>0</v>
      </c>
      <c r="BN32" s="48"/>
      <c r="BO32" s="50"/>
      <c r="BP32" s="52">
        <f t="shared" ref="BP32:BP70" si="47">BN32+BO32</f>
        <v>0</v>
      </c>
      <c r="BQ32" s="50"/>
      <c r="BR32" s="50"/>
      <c r="BS32" s="52">
        <f t="shared" ref="BS32:BS70" si="48">BQ32+BR32</f>
        <v>0</v>
      </c>
      <c r="BT32" s="48"/>
      <c r="BU32" s="50"/>
      <c r="BV32" s="52">
        <f t="shared" ref="BV32:BV70" si="49">BT32+BU32</f>
        <v>0</v>
      </c>
      <c r="BW32" s="36">
        <f t="shared" si="23"/>
        <v>7914300.6500000004</v>
      </c>
      <c r="BX32" s="36">
        <f t="shared" si="23"/>
        <v>0</v>
      </c>
      <c r="BY32" s="36">
        <f t="shared" si="24"/>
        <v>7914300.6500000004</v>
      </c>
      <c r="BZ32" s="36">
        <f t="shared" si="25"/>
        <v>3614866.97</v>
      </c>
      <c r="CA32" s="36">
        <f t="shared" si="25"/>
        <v>0</v>
      </c>
      <c r="CB32" s="36">
        <f t="shared" si="26"/>
        <v>3614866.97</v>
      </c>
    </row>
    <row r="33" spans="1:80" s="44" customFormat="1" ht="12" outlineLevel="1" x14ac:dyDescent="0.2">
      <c r="A33" s="38"/>
      <c r="B33" s="39" t="s">
        <v>48</v>
      </c>
      <c r="C33" s="59"/>
      <c r="D33" s="59"/>
      <c r="E33" s="60">
        <f t="shared" si="22"/>
        <v>0</v>
      </c>
      <c r="F33" s="59"/>
      <c r="G33" s="59"/>
      <c r="H33" s="60">
        <f t="shared" si="28"/>
        <v>0</v>
      </c>
      <c r="I33" s="59"/>
      <c r="J33" s="59"/>
      <c r="K33" s="60">
        <f t="shared" si="29"/>
        <v>0</v>
      </c>
      <c r="L33" s="59"/>
      <c r="M33" s="59"/>
      <c r="N33" s="60">
        <f t="shared" ref="N33:N70" si="50">L33+M33</f>
        <v>0</v>
      </c>
      <c r="O33" s="59"/>
      <c r="P33" s="59"/>
      <c r="Q33" s="60">
        <f t="shared" si="30"/>
        <v>0</v>
      </c>
      <c r="R33" s="59"/>
      <c r="S33" s="59"/>
      <c r="T33" s="60">
        <f t="shared" si="31"/>
        <v>0</v>
      </c>
      <c r="U33" s="59"/>
      <c r="V33" s="59"/>
      <c r="W33" s="60">
        <f t="shared" si="32"/>
        <v>0</v>
      </c>
      <c r="X33" s="59"/>
      <c r="Y33" s="59"/>
      <c r="Z33" s="60">
        <f t="shared" si="33"/>
        <v>0</v>
      </c>
      <c r="AA33" s="59"/>
      <c r="AB33" s="59"/>
      <c r="AC33" s="60">
        <f t="shared" si="34"/>
        <v>0</v>
      </c>
      <c r="AD33" s="59"/>
      <c r="AE33" s="59"/>
      <c r="AF33" s="60">
        <f t="shared" si="35"/>
        <v>0</v>
      </c>
      <c r="AG33" s="59"/>
      <c r="AH33" s="59"/>
      <c r="AI33" s="60">
        <f t="shared" si="36"/>
        <v>0</v>
      </c>
      <c r="AJ33" s="59"/>
      <c r="AK33" s="59"/>
      <c r="AL33" s="60">
        <f t="shared" si="37"/>
        <v>0</v>
      </c>
      <c r="AM33" s="59"/>
      <c r="AN33" s="59"/>
      <c r="AO33" s="60">
        <f t="shared" si="38"/>
        <v>0</v>
      </c>
      <c r="AP33" s="59"/>
      <c r="AQ33" s="59"/>
      <c r="AR33" s="60">
        <f t="shared" si="39"/>
        <v>0</v>
      </c>
      <c r="AS33" s="59"/>
      <c r="AT33" s="59"/>
      <c r="AU33" s="60">
        <f t="shared" si="40"/>
        <v>0</v>
      </c>
      <c r="AV33" s="59"/>
      <c r="AW33" s="59"/>
      <c r="AX33" s="60">
        <f t="shared" si="41"/>
        <v>0</v>
      </c>
      <c r="AY33" s="59"/>
      <c r="AZ33" s="59"/>
      <c r="BA33" s="60">
        <f t="shared" si="42"/>
        <v>0</v>
      </c>
      <c r="BB33" s="59"/>
      <c r="BC33" s="59"/>
      <c r="BD33" s="60">
        <f t="shared" si="43"/>
        <v>0</v>
      </c>
      <c r="BE33" s="59"/>
      <c r="BF33" s="59"/>
      <c r="BG33" s="60">
        <f t="shared" si="44"/>
        <v>0</v>
      </c>
      <c r="BH33" s="59"/>
      <c r="BI33" s="59"/>
      <c r="BJ33" s="60">
        <f t="shared" si="45"/>
        <v>0</v>
      </c>
      <c r="BK33" s="59"/>
      <c r="BL33" s="59"/>
      <c r="BM33" s="60">
        <f t="shared" si="46"/>
        <v>0</v>
      </c>
      <c r="BN33" s="59"/>
      <c r="BO33" s="59"/>
      <c r="BP33" s="60">
        <f t="shared" si="47"/>
        <v>0</v>
      </c>
      <c r="BQ33" s="59"/>
      <c r="BR33" s="59"/>
      <c r="BS33" s="60">
        <f t="shared" si="48"/>
        <v>0</v>
      </c>
      <c r="BT33" s="59"/>
      <c r="BU33" s="59"/>
      <c r="BV33" s="60">
        <f t="shared" si="49"/>
        <v>0</v>
      </c>
      <c r="BW33" s="43">
        <f t="shared" si="23"/>
        <v>0</v>
      </c>
      <c r="BX33" s="43">
        <f t="shared" si="23"/>
        <v>0</v>
      </c>
      <c r="BY33" s="43">
        <f t="shared" si="24"/>
        <v>0</v>
      </c>
      <c r="BZ33" s="43">
        <f t="shared" si="25"/>
        <v>0</v>
      </c>
      <c r="CA33" s="43">
        <f t="shared" si="25"/>
        <v>0</v>
      </c>
      <c r="CB33" s="43">
        <f t="shared" si="26"/>
        <v>0</v>
      </c>
    </row>
    <row r="34" spans="1:80" s="15" customFormat="1" outlineLevel="1" x14ac:dyDescent="0.2">
      <c r="A34" s="33">
        <v>122</v>
      </c>
      <c r="B34" s="49" t="s">
        <v>49</v>
      </c>
      <c r="C34" s="51"/>
      <c r="D34" s="51"/>
      <c r="E34" s="52">
        <f t="shared" si="22"/>
        <v>0</v>
      </c>
      <c r="F34" s="62"/>
      <c r="G34" s="51"/>
      <c r="H34" s="52">
        <f t="shared" si="28"/>
        <v>0</v>
      </c>
      <c r="I34" s="62"/>
      <c r="J34" s="62"/>
      <c r="K34" s="52">
        <f t="shared" si="29"/>
        <v>0</v>
      </c>
      <c r="L34" s="62"/>
      <c r="M34" s="51"/>
      <c r="N34" s="52">
        <f t="shared" si="50"/>
        <v>0</v>
      </c>
      <c r="O34" s="51">
        <v>9779</v>
      </c>
      <c r="P34" s="51">
        <f>139686+15535</f>
        <v>155221</v>
      </c>
      <c r="Q34" s="52">
        <f t="shared" si="30"/>
        <v>165000</v>
      </c>
      <c r="R34" s="62"/>
      <c r="S34" s="51"/>
      <c r="T34" s="52">
        <f t="shared" si="31"/>
        <v>0</v>
      </c>
      <c r="U34" s="62">
        <v>9779</v>
      </c>
      <c r="V34" s="51">
        <f>124286+29400+18535+1700+2600+12500+24374</f>
        <v>213395</v>
      </c>
      <c r="W34" s="52">
        <f t="shared" si="32"/>
        <v>223174</v>
      </c>
      <c r="X34" s="62"/>
      <c r="Y34" s="51"/>
      <c r="Z34" s="52">
        <f t="shared" si="33"/>
        <v>0</v>
      </c>
      <c r="AA34" s="51">
        <f>1093.33+9512.7</f>
        <v>10606.03</v>
      </c>
      <c r="AB34" s="51">
        <f>40135+139070+50200+17400+5600+4800+2600+5200</f>
        <v>265005</v>
      </c>
      <c r="AC34" s="52">
        <f t="shared" si="34"/>
        <v>275611.03000000003</v>
      </c>
      <c r="AD34" s="62"/>
      <c r="AE34" s="51"/>
      <c r="AF34" s="52">
        <f t="shared" si="35"/>
        <v>0</v>
      </c>
      <c r="AG34" s="51">
        <v>15952.33</v>
      </c>
      <c r="AH34" s="51">
        <f>190000+48020+77533+3700+47300+5500+5850+6000+39365+5908+24108+17850+27950</f>
        <v>499084</v>
      </c>
      <c r="AI34" s="52">
        <f t="shared" si="36"/>
        <v>515036.33</v>
      </c>
      <c r="AJ34" s="62"/>
      <c r="AK34" s="51"/>
      <c r="AL34" s="52">
        <f t="shared" si="37"/>
        <v>0</v>
      </c>
      <c r="AM34" s="51">
        <v>21956.91</v>
      </c>
      <c r="AN34" s="51">
        <v>379229</v>
      </c>
      <c r="AO34" s="52">
        <f t="shared" si="38"/>
        <v>401185.91</v>
      </c>
      <c r="AP34" s="62"/>
      <c r="AQ34" s="51"/>
      <c r="AR34" s="52">
        <f t="shared" si="39"/>
        <v>0</v>
      </c>
      <c r="AS34" s="51">
        <v>32841.370000000003</v>
      </c>
      <c r="AT34" s="51">
        <v>307576</v>
      </c>
      <c r="AU34" s="52">
        <f t="shared" si="40"/>
        <v>340417.37</v>
      </c>
      <c r="AV34" s="62"/>
      <c r="AW34" s="51"/>
      <c r="AX34" s="52">
        <f t="shared" si="41"/>
        <v>0</v>
      </c>
      <c r="AY34" s="51"/>
      <c r="AZ34" s="51"/>
      <c r="BA34" s="52">
        <f t="shared" si="42"/>
        <v>0</v>
      </c>
      <c r="BB34" s="51"/>
      <c r="BC34" s="51"/>
      <c r="BD34" s="52">
        <f t="shared" si="43"/>
        <v>0</v>
      </c>
      <c r="BE34" s="51"/>
      <c r="BF34" s="51"/>
      <c r="BG34" s="52">
        <f t="shared" si="44"/>
        <v>0</v>
      </c>
      <c r="BH34" s="51"/>
      <c r="BI34" s="51"/>
      <c r="BJ34" s="52">
        <f t="shared" si="45"/>
        <v>0</v>
      </c>
      <c r="BK34" s="51"/>
      <c r="BL34" s="51"/>
      <c r="BM34" s="52">
        <f t="shared" si="46"/>
        <v>0</v>
      </c>
      <c r="BN34" s="62"/>
      <c r="BO34" s="51"/>
      <c r="BP34" s="52">
        <f t="shared" si="47"/>
        <v>0</v>
      </c>
      <c r="BQ34" s="51"/>
      <c r="BR34" s="51"/>
      <c r="BS34" s="52">
        <f t="shared" si="48"/>
        <v>0</v>
      </c>
      <c r="BT34" s="62"/>
      <c r="BU34" s="51"/>
      <c r="BV34" s="52">
        <f t="shared" si="49"/>
        <v>0</v>
      </c>
      <c r="BW34" s="36">
        <f t="shared" si="23"/>
        <v>100914.64000000001</v>
      </c>
      <c r="BX34" s="36">
        <f t="shared" si="23"/>
        <v>1819510</v>
      </c>
      <c r="BY34" s="36">
        <f t="shared" si="24"/>
        <v>1920424.6400000001</v>
      </c>
      <c r="BZ34" s="36">
        <f t="shared" si="25"/>
        <v>0</v>
      </c>
      <c r="CA34" s="36">
        <f t="shared" si="25"/>
        <v>0</v>
      </c>
      <c r="CB34" s="36">
        <f t="shared" si="26"/>
        <v>0</v>
      </c>
    </row>
    <row r="35" spans="1:80" s="15" customFormat="1" ht="16.5" customHeight="1" outlineLevel="1" x14ac:dyDescent="0.2">
      <c r="A35" s="61">
        <v>123</v>
      </c>
      <c r="B35" s="49" t="s">
        <v>50</v>
      </c>
      <c r="C35" s="51"/>
      <c r="D35" s="51"/>
      <c r="E35" s="52">
        <f t="shared" si="22"/>
        <v>0</v>
      </c>
      <c r="F35" s="62"/>
      <c r="G35" s="51"/>
      <c r="H35" s="52">
        <f t="shared" si="28"/>
        <v>0</v>
      </c>
      <c r="I35" s="62"/>
      <c r="J35" s="51"/>
      <c r="K35" s="52">
        <f t="shared" si="29"/>
        <v>0</v>
      </c>
      <c r="L35" s="62"/>
      <c r="M35" s="51"/>
      <c r="N35" s="52"/>
      <c r="O35" s="51">
        <v>6000</v>
      </c>
      <c r="P35" s="51"/>
      <c r="Q35" s="52">
        <f t="shared" si="30"/>
        <v>6000</v>
      </c>
      <c r="R35" s="62"/>
      <c r="S35" s="51"/>
      <c r="T35" s="52">
        <f t="shared" si="31"/>
        <v>0</v>
      </c>
      <c r="U35" s="62">
        <v>5615</v>
      </c>
      <c r="V35" s="51"/>
      <c r="W35" s="52">
        <f t="shared" si="32"/>
        <v>5615</v>
      </c>
      <c r="X35" s="62"/>
      <c r="Y35" s="51"/>
      <c r="Z35" s="52">
        <f t="shared" si="33"/>
        <v>0</v>
      </c>
      <c r="AA35" s="51">
        <v>6413.82</v>
      </c>
      <c r="AB35" s="51"/>
      <c r="AC35" s="52">
        <f t="shared" si="34"/>
        <v>6413.82</v>
      </c>
      <c r="AD35" s="62"/>
      <c r="AE35" s="51"/>
      <c r="AF35" s="52">
        <f t="shared" si="35"/>
        <v>0</v>
      </c>
      <c r="AG35" s="51">
        <v>8902</v>
      </c>
      <c r="AH35" s="51"/>
      <c r="AI35" s="52">
        <f t="shared" si="36"/>
        <v>8902</v>
      </c>
      <c r="AJ35" s="62"/>
      <c r="AK35" s="51"/>
      <c r="AL35" s="52">
        <f t="shared" si="37"/>
        <v>0</v>
      </c>
      <c r="AM35" s="51">
        <v>11397.57</v>
      </c>
      <c r="AN35" s="51"/>
      <c r="AO35" s="52">
        <f t="shared" si="38"/>
        <v>11397.57</v>
      </c>
      <c r="AP35" s="62"/>
      <c r="AQ35" s="51"/>
      <c r="AR35" s="52">
        <f t="shared" si="39"/>
        <v>0</v>
      </c>
      <c r="AS35" s="51">
        <v>17570.240000000002</v>
      </c>
      <c r="AT35" s="51"/>
      <c r="AU35" s="52">
        <f t="shared" si="40"/>
        <v>17570.240000000002</v>
      </c>
      <c r="AV35" s="62"/>
      <c r="AW35" s="51"/>
      <c r="AX35" s="52">
        <f t="shared" si="41"/>
        <v>0</v>
      </c>
      <c r="AY35" s="51"/>
      <c r="AZ35" s="51"/>
      <c r="BA35" s="52">
        <f t="shared" si="42"/>
        <v>0</v>
      </c>
      <c r="BB35" s="51"/>
      <c r="BC35" s="51"/>
      <c r="BD35" s="52">
        <f t="shared" si="43"/>
        <v>0</v>
      </c>
      <c r="BE35" s="51"/>
      <c r="BF35" s="51"/>
      <c r="BG35" s="52">
        <f t="shared" si="44"/>
        <v>0</v>
      </c>
      <c r="BH35" s="51"/>
      <c r="BI35" s="51"/>
      <c r="BJ35" s="52">
        <f t="shared" si="45"/>
        <v>0</v>
      </c>
      <c r="BK35" s="51"/>
      <c r="BL35" s="51"/>
      <c r="BM35" s="52">
        <f t="shared" si="46"/>
        <v>0</v>
      </c>
      <c r="BN35" s="62"/>
      <c r="BO35" s="51"/>
      <c r="BP35" s="52">
        <f t="shared" si="47"/>
        <v>0</v>
      </c>
      <c r="BQ35" s="51"/>
      <c r="BR35" s="51"/>
      <c r="BS35" s="52">
        <f t="shared" si="48"/>
        <v>0</v>
      </c>
      <c r="BT35" s="62"/>
      <c r="BU35" s="51"/>
      <c r="BV35" s="52">
        <f t="shared" si="49"/>
        <v>0</v>
      </c>
      <c r="BW35" s="36">
        <f t="shared" si="23"/>
        <v>55898.630000000005</v>
      </c>
      <c r="BX35" s="36">
        <f t="shared" si="23"/>
        <v>0</v>
      </c>
      <c r="BY35" s="36">
        <f t="shared" si="24"/>
        <v>55898.630000000005</v>
      </c>
      <c r="BZ35" s="36">
        <f t="shared" si="25"/>
        <v>0</v>
      </c>
      <c r="CA35" s="36">
        <f t="shared" si="25"/>
        <v>0</v>
      </c>
      <c r="CB35" s="36">
        <f t="shared" si="26"/>
        <v>0</v>
      </c>
    </row>
    <row r="36" spans="1:80" s="15" customFormat="1" outlineLevel="1" x14ac:dyDescent="0.2">
      <c r="A36" s="33">
        <v>124</v>
      </c>
      <c r="B36" s="49" t="s">
        <v>51</v>
      </c>
      <c r="C36" s="51"/>
      <c r="D36" s="51"/>
      <c r="E36" s="52">
        <f t="shared" si="22"/>
        <v>0</v>
      </c>
      <c r="F36" s="51"/>
      <c r="G36" s="51"/>
      <c r="H36" s="52">
        <f t="shared" si="28"/>
        <v>0</v>
      </c>
      <c r="I36" s="51"/>
      <c r="J36" s="51"/>
      <c r="K36" s="52">
        <f t="shared" si="29"/>
        <v>0</v>
      </c>
      <c r="L36" s="51"/>
      <c r="M36" s="51"/>
      <c r="N36" s="52">
        <f t="shared" si="50"/>
        <v>0</v>
      </c>
      <c r="O36" s="51"/>
      <c r="P36" s="51"/>
      <c r="Q36" s="52">
        <f t="shared" si="30"/>
        <v>0</v>
      </c>
      <c r="R36" s="51"/>
      <c r="S36" s="51"/>
      <c r="T36" s="52">
        <f t="shared" si="31"/>
        <v>0</v>
      </c>
      <c r="U36" s="51"/>
      <c r="V36" s="51"/>
      <c r="W36" s="52">
        <f t="shared" si="32"/>
        <v>0</v>
      </c>
      <c r="X36" s="51"/>
      <c r="Y36" s="51"/>
      <c r="Z36" s="52">
        <f t="shared" si="33"/>
        <v>0</v>
      </c>
      <c r="AA36" s="51"/>
      <c r="AB36" s="51"/>
      <c r="AC36" s="52">
        <f t="shared" si="34"/>
        <v>0</v>
      </c>
      <c r="AD36" s="51"/>
      <c r="AE36" s="51"/>
      <c r="AF36" s="52">
        <f t="shared" si="35"/>
        <v>0</v>
      </c>
      <c r="AG36" s="51">
        <v>6915.6</v>
      </c>
      <c r="AH36" s="51"/>
      <c r="AI36" s="52">
        <f t="shared" si="36"/>
        <v>6915.6</v>
      </c>
      <c r="AJ36" s="51"/>
      <c r="AK36" s="51"/>
      <c r="AL36" s="52">
        <f t="shared" si="37"/>
        <v>0</v>
      </c>
      <c r="AM36" s="51"/>
      <c r="AN36" s="51"/>
      <c r="AO36" s="52">
        <f t="shared" si="38"/>
        <v>0</v>
      </c>
      <c r="AP36" s="51"/>
      <c r="AQ36" s="51"/>
      <c r="AR36" s="52">
        <f t="shared" si="39"/>
        <v>0</v>
      </c>
      <c r="AS36" s="51"/>
      <c r="AT36" s="51"/>
      <c r="AU36" s="52">
        <f t="shared" si="40"/>
        <v>0</v>
      </c>
      <c r="AV36" s="51"/>
      <c r="AW36" s="51"/>
      <c r="AX36" s="52">
        <f t="shared" si="41"/>
        <v>0</v>
      </c>
      <c r="AY36" s="51"/>
      <c r="AZ36" s="51"/>
      <c r="BA36" s="52">
        <f t="shared" si="42"/>
        <v>0</v>
      </c>
      <c r="BB36" s="51"/>
      <c r="BC36" s="51"/>
      <c r="BD36" s="52">
        <f t="shared" si="43"/>
        <v>0</v>
      </c>
      <c r="BE36" s="51"/>
      <c r="BF36" s="51"/>
      <c r="BG36" s="52">
        <f t="shared" si="44"/>
        <v>0</v>
      </c>
      <c r="BH36" s="51"/>
      <c r="BI36" s="51"/>
      <c r="BJ36" s="52">
        <f t="shared" si="45"/>
        <v>0</v>
      </c>
      <c r="BK36" s="51"/>
      <c r="BL36" s="51"/>
      <c r="BM36" s="52">
        <f t="shared" si="46"/>
        <v>0</v>
      </c>
      <c r="BN36" s="51"/>
      <c r="BO36" s="51"/>
      <c r="BP36" s="52">
        <f t="shared" si="47"/>
        <v>0</v>
      </c>
      <c r="BQ36" s="51"/>
      <c r="BR36" s="51"/>
      <c r="BS36" s="52">
        <f t="shared" si="48"/>
        <v>0</v>
      </c>
      <c r="BT36" s="51"/>
      <c r="BU36" s="51"/>
      <c r="BV36" s="52">
        <f t="shared" si="49"/>
        <v>0</v>
      </c>
      <c r="BW36" s="36">
        <f t="shared" si="23"/>
        <v>6915.6</v>
      </c>
      <c r="BX36" s="36">
        <f t="shared" si="23"/>
        <v>0</v>
      </c>
      <c r="BY36" s="36">
        <f t="shared" si="24"/>
        <v>6915.6</v>
      </c>
      <c r="BZ36" s="36">
        <f t="shared" si="25"/>
        <v>0</v>
      </c>
      <c r="CA36" s="36">
        <f t="shared" si="25"/>
        <v>0</v>
      </c>
      <c r="CB36" s="36">
        <f t="shared" si="26"/>
        <v>0</v>
      </c>
    </row>
    <row r="37" spans="1:80" s="44" customFormat="1" ht="12" outlineLevel="1" x14ac:dyDescent="0.2">
      <c r="A37" s="38"/>
      <c r="B37" s="39" t="s">
        <v>52</v>
      </c>
      <c r="C37" s="63"/>
      <c r="D37" s="63"/>
      <c r="E37" s="60">
        <f t="shared" si="22"/>
        <v>0</v>
      </c>
      <c r="F37" s="63"/>
      <c r="G37" s="63"/>
      <c r="H37" s="60">
        <f t="shared" si="28"/>
        <v>0</v>
      </c>
      <c r="I37" s="63"/>
      <c r="J37" s="63"/>
      <c r="K37" s="60">
        <f t="shared" si="29"/>
        <v>0</v>
      </c>
      <c r="L37" s="63"/>
      <c r="M37" s="63"/>
      <c r="N37" s="60">
        <f t="shared" si="50"/>
        <v>0</v>
      </c>
      <c r="O37" s="63"/>
      <c r="P37" s="63"/>
      <c r="Q37" s="60">
        <f t="shared" si="30"/>
        <v>0</v>
      </c>
      <c r="R37" s="63"/>
      <c r="S37" s="63"/>
      <c r="T37" s="60">
        <f t="shared" si="31"/>
        <v>0</v>
      </c>
      <c r="U37" s="63"/>
      <c r="V37" s="63"/>
      <c r="W37" s="60">
        <f t="shared" si="32"/>
        <v>0</v>
      </c>
      <c r="X37" s="63"/>
      <c r="Y37" s="63"/>
      <c r="Z37" s="60">
        <f t="shared" si="33"/>
        <v>0</v>
      </c>
      <c r="AA37" s="63"/>
      <c r="AB37" s="63"/>
      <c r="AC37" s="60">
        <f t="shared" si="34"/>
        <v>0</v>
      </c>
      <c r="AD37" s="63"/>
      <c r="AE37" s="63"/>
      <c r="AF37" s="60">
        <f t="shared" si="35"/>
        <v>0</v>
      </c>
      <c r="AG37" s="63"/>
      <c r="AH37" s="63"/>
      <c r="AI37" s="60">
        <f t="shared" si="36"/>
        <v>0</v>
      </c>
      <c r="AJ37" s="63"/>
      <c r="AK37" s="63"/>
      <c r="AL37" s="60">
        <f t="shared" si="37"/>
        <v>0</v>
      </c>
      <c r="AM37" s="63"/>
      <c r="AN37" s="63"/>
      <c r="AO37" s="60">
        <f t="shared" si="38"/>
        <v>0</v>
      </c>
      <c r="AP37" s="63"/>
      <c r="AQ37" s="63"/>
      <c r="AR37" s="60">
        <f t="shared" si="39"/>
        <v>0</v>
      </c>
      <c r="AS37" s="63"/>
      <c r="AT37" s="63"/>
      <c r="AU37" s="60">
        <f t="shared" si="40"/>
        <v>0</v>
      </c>
      <c r="AV37" s="63"/>
      <c r="AW37" s="63"/>
      <c r="AX37" s="60">
        <f t="shared" si="41"/>
        <v>0</v>
      </c>
      <c r="AY37" s="63"/>
      <c r="AZ37" s="63"/>
      <c r="BA37" s="60">
        <f t="shared" si="42"/>
        <v>0</v>
      </c>
      <c r="BB37" s="63"/>
      <c r="BC37" s="63"/>
      <c r="BD37" s="60">
        <f t="shared" si="43"/>
        <v>0</v>
      </c>
      <c r="BE37" s="63"/>
      <c r="BF37" s="63"/>
      <c r="BG37" s="60">
        <f t="shared" si="44"/>
        <v>0</v>
      </c>
      <c r="BH37" s="63"/>
      <c r="BI37" s="63"/>
      <c r="BJ37" s="60">
        <f t="shared" si="45"/>
        <v>0</v>
      </c>
      <c r="BK37" s="63"/>
      <c r="BL37" s="63"/>
      <c r="BM37" s="60">
        <f t="shared" si="46"/>
        <v>0</v>
      </c>
      <c r="BN37" s="63"/>
      <c r="BO37" s="63"/>
      <c r="BP37" s="60">
        <f t="shared" si="47"/>
        <v>0</v>
      </c>
      <c r="BQ37" s="63"/>
      <c r="BR37" s="63"/>
      <c r="BS37" s="60">
        <f t="shared" si="48"/>
        <v>0</v>
      </c>
      <c r="BT37" s="63"/>
      <c r="BU37" s="63"/>
      <c r="BV37" s="60">
        <f t="shared" si="49"/>
        <v>0</v>
      </c>
      <c r="BW37" s="43">
        <f t="shared" si="23"/>
        <v>0</v>
      </c>
      <c r="BX37" s="43">
        <f t="shared" si="23"/>
        <v>0</v>
      </c>
      <c r="BY37" s="43">
        <f t="shared" si="24"/>
        <v>0</v>
      </c>
      <c r="BZ37" s="43">
        <f t="shared" si="25"/>
        <v>0</v>
      </c>
      <c r="CA37" s="43">
        <f t="shared" si="25"/>
        <v>0</v>
      </c>
      <c r="CB37" s="43">
        <f t="shared" si="26"/>
        <v>0</v>
      </c>
    </row>
    <row r="38" spans="1:80" s="5" customFormat="1" outlineLevel="1" x14ac:dyDescent="0.2">
      <c r="A38" s="33">
        <v>125</v>
      </c>
      <c r="B38" s="64" t="s">
        <v>53</v>
      </c>
      <c r="C38" s="65">
        <f>C39+C40+C41+C42</f>
        <v>0</v>
      </c>
      <c r="D38" s="65">
        <f>D39+D40+D41+D42</f>
        <v>0</v>
      </c>
      <c r="E38" s="52">
        <f t="shared" si="22"/>
        <v>0</v>
      </c>
      <c r="F38" s="65">
        <f>F39+F40+F41+F42</f>
        <v>0</v>
      </c>
      <c r="G38" s="65">
        <f>G39+G40+G41+G42</f>
        <v>0</v>
      </c>
      <c r="H38" s="52">
        <f t="shared" si="28"/>
        <v>0</v>
      </c>
      <c r="I38" s="65"/>
      <c r="J38" s="65"/>
      <c r="K38" s="52">
        <f t="shared" si="29"/>
        <v>0</v>
      </c>
      <c r="L38" s="65">
        <f>L39+L40+L41+L42</f>
        <v>0</v>
      </c>
      <c r="M38" s="65">
        <f>M39+M40+M41+M42</f>
        <v>0</v>
      </c>
      <c r="N38" s="52">
        <f t="shared" si="50"/>
        <v>0</v>
      </c>
      <c r="O38" s="65">
        <f>O39+O40+O41+O42</f>
        <v>0</v>
      </c>
      <c r="P38" s="65">
        <f>P39+P40+P41+P42</f>
        <v>0</v>
      </c>
      <c r="Q38" s="52">
        <f t="shared" si="30"/>
        <v>0</v>
      </c>
      <c r="R38" s="65">
        <f>R39+R40+R41+R42</f>
        <v>0</v>
      </c>
      <c r="S38" s="65">
        <f>S39+S40+S41+S42</f>
        <v>0</v>
      </c>
      <c r="T38" s="52">
        <f t="shared" si="31"/>
        <v>0</v>
      </c>
      <c r="U38" s="65">
        <f>U39+U40+U41+U42</f>
        <v>0</v>
      </c>
      <c r="V38" s="65">
        <f>V39+V40+V41+V42</f>
        <v>0</v>
      </c>
      <c r="W38" s="52">
        <f t="shared" si="32"/>
        <v>0</v>
      </c>
      <c r="X38" s="65">
        <f>X39+X40+X41+X42</f>
        <v>0</v>
      </c>
      <c r="Y38" s="65">
        <f>Y39+Y40+Y41+Y42</f>
        <v>0</v>
      </c>
      <c r="Z38" s="52">
        <f t="shared" si="33"/>
        <v>0</v>
      </c>
      <c r="AA38" s="65">
        <f>AA39+AA40+AA41+AA42</f>
        <v>0</v>
      </c>
      <c r="AB38" s="65">
        <f>AB39+AB40+AB41+AB42</f>
        <v>0</v>
      </c>
      <c r="AC38" s="52">
        <f t="shared" si="34"/>
        <v>0</v>
      </c>
      <c r="AD38" s="65">
        <f>AD39+AD40+AD41+AD42</f>
        <v>0</v>
      </c>
      <c r="AE38" s="65">
        <f>AE39+AE40+AE41+AE42</f>
        <v>0</v>
      </c>
      <c r="AF38" s="52">
        <f t="shared" si="35"/>
        <v>0</v>
      </c>
      <c r="AG38" s="65">
        <f>AG39+AG40+AG41+AG42</f>
        <v>0</v>
      </c>
      <c r="AH38" s="65">
        <f>AH39+AH40+AH41+AH42</f>
        <v>0</v>
      </c>
      <c r="AI38" s="52">
        <f t="shared" si="36"/>
        <v>0</v>
      </c>
      <c r="AJ38" s="65">
        <f>AJ39+AJ40+AJ41+AJ42</f>
        <v>0</v>
      </c>
      <c r="AK38" s="65">
        <f>AK39+AK40+AK41+AK42</f>
        <v>0</v>
      </c>
      <c r="AL38" s="52">
        <f t="shared" si="37"/>
        <v>0</v>
      </c>
      <c r="AM38" s="65">
        <f>AM39+AM40+AM41+AM42</f>
        <v>0</v>
      </c>
      <c r="AN38" s="65">
        <f>AN39+AN40+AN41+AN42</f>
        <v>0</v>
      </c>
      <c r="AO38" s="52">
        <f t="shared" si="38"/>
        <v>0</v>
      </c>
      <c r="AP38" s="65">
        <f>AP39+AP40+AP41+AP42</f>
        <v>0</v>
      </c>
      <c r="AQ38" s="65">
        <f>AQ39+AQ40+AQ41+AQ42</f>
        <v>0</v>
      </c>
      <c r="AR38" s="52">
        <f t="shared" si="39"/>
        <v>0</v>
      </c>
      <c r="AS38" s="65">
        <f>AS39+AS40+AS41+AS42</f>
        <v>0</v>
      </c>
      <c r="AT38" s="65">
        <f>AT39+AT40+AT41+AT42</f>
        <v>0</v>
      </c>
      <c r="AU38" s="52">
        <f t="shared" si="40"/>
        <v>0</v>
      </c>
      <c r="AV38" s="65">
        <f>AV39+AV40+AV41+AV42</f>
        <v>0</v>
      </c>
      <c r="AW38" s="65">
        <f>AW39+AW40+AW41+AW42</f>
        <v>0</v>
      </c>
      <c r="AX38" s="52">
        <f t="shared" si="41"/>
        <v>0</v>
      </c>
      <c r="AY38" s="65">
        <f>AY39+AY40+AY41+AY42</f>
        <v>0</v>
      </c>
      <c r="AZ38" s="65">
        <f>AZ39+AZ40+AZ41+AZ42</f>
        <v>0</v>
      </c>
      <c r="BA38" s="52">
        <f t="shared" si="42"/>
        <v>0</v>
      </c>
      <c r="BB38" s="65">
        <f>BB39+BB40+BB41+BB42</f>
        <v>0</v>
      </c>
      <c r="BC38" s="65">
        <f>BC39+BC40+BC41+BC42</f>
        <v>0</v>
      </c>
      <c r="BD38" s="52">
        <f t="shared" si="43"/>
        <v>0</v>
      </c>
      <c r="BE38" s="65">
        <f>BE39+BE40+BE41+BE42</f>
        <v>0</v>
      </c>
      <c r="BF38" s="65">
        <f>BF39+BF40+BF41+BF42</f>
        <v>0</v>
      </c>
      <c r="BG38" s="52">
        <f t="shared" si="44"/>
        <v>0</v>
      </c>
      <c r="BH38" s="65">
        <f>BH39+BH40+BH41+BH42</f>
        <v>0</v>
      </c>
      <c r="BI38" s="65">
        <f>BI39+BI40+BI41+BI42</f>
        <v>0</v>
      </c>
      <c r="BJ38" s="52">
        <f t="shared" si="45"/>
        <v>0</v>
      </c>
      <c r="BK38" s="65">
        <f>BK39+BK40+BK41+BK42</f>
        <v>0</v>
      </c>
      <c r="BL38" s="65">
        <f>BL39+BL40+BL41+BL42</f>
        <v>0</v>
      </c>
      <c r="BM38" s="52">
        <f t="shared" si="46"/>
        <v>0</v>
      </c>
      <c r="BN38" s="65">
        <f>BN39+BN40+BN41+BN42</f>
        <v>0</v>
      </c>
      <c r="BO38" s="65">
        <f>BO39+BO40+BO41+BO42</f>
        <v>0</v>
      </c>
      <c r="BP38" s="52">
        <f t="shared" si="47"/>
        <v>0</v>
      </c>
      <c r="BQ38" s="65">
        <f>BQ39+BQ40+BQ41+BQ42</f>
        <v>0</v>
      </c>
      <c r="BR38" s="65">
        <f>BR39+BR40+BR41+BR42</f>
        <v>0</v>
      </c>
      <c r="BS38" s="52">
        <f t="shared" si="48"/>
        <v>0</v>
      </c>
      <c r="BT38" s="65">
        <f>BT39+BT40+BT41+BT42</f>
        <v>0</v>
      </c>
      <c r="BU38" s="65">
        <f>BU39+BU40+BU41+BU42</f>
        <v>0</v>
      </c>
      <c r="BV38" s="52">
        <f t="shared" si="49"/>
        <v>0</v>
      </c>
      <c r="BW38" s="36">
        <f>C38+I38+O38+U38+AA38+AG38+AM38+AS38+AY38+BE38+BK38+BQ38</f>
        <v>0</v>
      </c>
      <c r="BX38" s="36">
        <f>D38+J38+P38+V38+AB38+AH38+AN38+AT38+AZ38+BF38+BL38+BR38</f>
        <v>0</v>
      </c>
      <c r="BY38" s="36">
        <f t="shared" si="24"/>
        <v>0</v>
      </c>
      <c r="BZ38" s="36">
        <f>F38+L38+R38+X38+AD38+AJ38+AP38+AV38+BB38+BH38+BN38+BT38</f>
        <v>0</v>
      </c>
      <c r="CA38" s="36">
        <f>G38+M38+S38+Y38+AE38+AK38+AQ38+AW38+BC38+BI38+BO38+BU38</f>
        <v>0</v>
      </c>
      <c r="CB38" s="36">
        <f t="shared" si="26"/>
        <v>0</v>
      </c>
    </row>
    <row r="39" spans="1:80" s="44" customFormat="1" ht="12" outlineLevel="2" x14ac:dyDescent="0.2">
      <c r="A39" s="38" t="s">
        <v>54</v>
      </c>
      <c r="B39" s="66" t="s">
        <v>55</v>
      </c>
      <c r="C39" s="67"/>
      <c r="D39" s="67"/>
      <c r="E39" s="60">
        <f t="shared" si="22"/>
        <v>0</v>
      </c>
      <c r="F39" s="67"/>
      <c r="G39" s="67"/>
      <c r="H39" s="60">
        <f t="shared" si="28"/>
        <v>0</v>
      </c>
      <c r="I39" s="67"/>
      <c r="J39" s="67"/>
      <c r="K39" s="60">
        <f t="shared" si="29"/>
        <v>0</v>
      </c>
      <c r="L39" s="67"/>
      <c r="M39" s="67"/>
      <c r="N39" s="60">
        <f t="shared" si="50"/>
        <v>0</v>
      </c>
      <c r="O39" s="67"/>
      <c r="P39" s="67"/>
      <c r="Q39" s="60">
        <f t="shared" si="30"/>
        <v>0</v>
      </c>
      <c r="R39" s="67"/>
      <c r="S39" s="67"/>
      <c r="T39" s="60">
        <f t="shared" si="31"/>
        <v>0</v>
      </c>
      <c r="U39" s="67"/>
      <c r="V39" s="67"/>
      <c r="W39" s="60">
        <f t="shared" si="32"/>
        <v>0</v>
      </c>
      <c r="X39" s="67"/>
      <c r="Y39" s="67"/>
      <c r="Z39" s="60">
        <f t="shared" si="33"/>
        <v>0</v>
      </c>
      <c r="AA39" s="67"/>
      <c r="AB39" s="67"/>
      <c r="AC39" s="60">
        <f t="shared" si="34"/>
        <v>0</v>
      </c>
      <c r="AD39" s="67"/>
      <c r="AE39" s="67"/>
      <c r="AF39" s="60">
        <f t="shared" si="35"/>
        <v>0</v>
      </c>
      <c r="AG39" s="67"/>
      <c r="AH39" s="67"/>
      <c r="AI39" s="60">
        <f t="shared" si="36"/>
        <v>0</v>
      </c>
      <c r="AJ39" s="67"/>
      <c r="AK39" s="67"/>
      <c r="AL39" s="60">
        <f t="shared" si="37"/>
        <v>0</v>
      </c>
      <c r="AM39" s="67"/>
      <c r="AN39" s="67"/>
      <c r="AO39" s="60">
        <f t="shared" si="38"/>
        <v>0</v>
      </c>
      <c r="AP39" s="67"/>
      <c r="AQ39" s="67"/>
      <c r="AR39" s="60">
        <f t="shared" si="39"/>
        <v>0</v>
      </c>
      <c r="AS39" s="67"/>
      <c r="AT39" s="67"/>
      <c r="AU39" s="60">
        <f t="shared" si="40"/>
        <v>0</v>
      </c>
      <c r="AV39" s="67"/>
      <c r="AW39" s="67"/>
      <c r="AX39" s="60">
        <f t="shared" si="41"/>
        <v>0</v>
      </c>
      <c r="AY39" s="67"/>
      <c r="AZ39" s="67"/>
      <c r="BA39" s="60">
        <f t="shared" si="42"/>
        <v>0</v>
      </c>
      <c r="BB39" s="67"/>
      <c r="BC39" s="67"/>
      <c r="BD39" s="60">
        <f t="shared" si="43"/>
        <v>0</v>
      </c>
      <c r="BE39" s="67"/>
      <c r="BF39" s="67"/>
      <c r="BG39" s="60">
        <f t="shared" si="44"/>
        <v>0</v>
      </c>
      <c r="BH39" s="67"/>
      <c r="BI39" s="67"/>
      <c r="BJ39" s="60">
        <f t="shared" si="45"/>
        <v>0</v>
      </c>
      <c r="BK39" s="67"/>
      <c r="BL39" s="67"/>
      <c r="BM39" s="60">
        <f t="shared" si="46"/>
        <v>0</v>
      </c>
      <c r="BN39" s="67"/>
      <c r="BO39" s="67"/>
      <c r="BP39" s="60">
        <f t="shared" si="47"/>
        <v>0</v>
      </c>
      <c r="BQ39" s="67"/>
      <c r="BR39" s="67"/>
      <c r="BS39" s="60">
        <f t="shared" si="48"/>
        <v>0</v>
      </c>
      <c r="BT39" s="67"/>
      <c r="BU39" s="67"/>
      <c r="BV39" s="60">
        <f t="shared" si="49"/>
        <v>0</v>
      </c>
      <c r="BW39" s="43">
        <f>C39+I39+O39+U39+AA39+AG39+AM39+AS39+AY39+BE39+BK39+BQ39</f>
        <v>0</v>
      </c>
      <c r="BX39" s="43">
        <f t="shared" si="23"/>
        <v>0</v>
      </c>
      <c r="BY39" s="43">
        <f t="shared" si="24"/>
        <v>0</v>
      </c>
      <c r="BZ39" s="43">
        <f t="shared" si="25"/>
        <v>0</v>
      </c>
      <c r="CA39" s="43">
        <f t="shared" si="25"/>
        <v>0</v>
      </c>
      <c r="CB39" s="43">
        <f t="shared" si="26"/>
        <v>0</v>
      </c>
    </row>
    <row r="40" spans="1:80" s="44" customFormat="1" ht="24" outlineLevel="2" x14ac:dyDescent="0.2">
      <c r="A40" s="38" t="s">
        <v>56</v>
      </c>
      <c r="B40" s="66" t="s">
        <v>57</v>
      </c>
      <c r="C40" s="67"/>
      <c r="D40" s="67"/>
      <c r="E40" s="60">
        <f t="shared" si="22"/>
        <v>0</v>
      </c>
      <c r="F40" s="67"/>
      <c r="G40" s="67"/>
      <c r="H40" s="60">
        <f t="shared" si="28"/>
        <v>0</v>
      </c>
      <c r="I40" s="67"/>
      <c r="J40" s="67"/>
      <c r="K40" s="60">
        <f t="shared" si="29"/>
        <v>0</v>
      </c>
      <c r="L40" s="67"/>
      <c r="M40" s="67"/>
      <c r="N40" s="60">
        <f t="shared" si="50"/>
        <v>0</v>
      </c>
      <c r="O40" s="67"/>
      <c r="P40" s="67"/>
      <c r="Q40" s="60">
        <f t="shared" si="30"/>
        <v>0</v>
      </c>
      <c r="R40" s="67"/>
      <c r="S40" s="67"/>
      <c r="T40" s="60">
        <f t="shared" si="31"/>
        <v>0</v>
      </c>
      <c r="U40" s="67"/>
      <c r="V40" s="67"/>
      <c r="W40" s="60">
        <f t="shared" si="32"/>
        <v>0</v>
      </c>
      <c r="X40" s="67"/>
      <c r="Y40" s="67"/>
      <c r="Z40" s="60">
        <f t="shared" si="33"/>
        <v>0</v>
      </c>
      <c r="AA40" s="67"/>
      <c r="AB40" s="67"/>
      <c r="AC40" s="60">
        <f t="shared" si="34"/>
        <v>0</v>
      </c>
      <c r="AD40" s="67"/>
      <c r="AE40" s="67"/>
      <c r="AF40" s="60">
        <f t="shared" si="35"/>
        <v>0</v>
      </c>
      <c r="AG40" s="67"/>
      <c r="AH40" s="67"/>
      <c r="AI40" s="60">
        <f t="shared" si="36"/>
        <v>0</v>
      </c>
      <c r="AJ40" s="67"/>
      <c r="AK40" s="67"/>
      <c r="AL40" s="60">
        <f t="shared" si="37"/>
        <v>0</v>
      </c>
      <c r="AM40" s="67"/>
      <c r="AN40" s="67"/>
      <c r="AO40" s="60">
        <f t="shared" si="38"/>
        <v>0</v>
      </c>
      <c r="AP40" s="67"/>
      <c r="AQ40" s="67"/>
      <c r="AR40" s="60">
        <f t="shared" si="39"/>
        <v>0</v>
      </c>
      <c r="AS40" s="67"/>
      <c r="AT40" s="67"/>
      <c r="AU40" s="60">
        <f t="shared" si="40"/>
        <v>0</v>
      </c>
      <c r="AV40" s="67"/>
      <c r="AW40" s="67"/>
      <c r="AX40" s="60">
        <f t="shared" si="41"/>
        <v>0</v>
      </c>
      <c r="AY40" s="67"/>
      <c r="AZ40" s="67"/>
      <c r="BA40" s="60">
        <f t="shared" si="42"/>
        <v>0</v>
      </c>
      <c r="BB40" s="67"/>
      <c r="BC40" s="67"/>
      <c r="BD40" s="60">
        <f t="shared" si="43"/>
        <v>0</v>
      </c>
      <c r="BE40" s="67"/>
      <c r="BF40" s="67"/>
      <c r="BG40" s="60">
        <f t="shared" si="44"/>
        <v>0</v>
      </c>
      <c r="BH40" s="67"/>
      <c r="BI40" s="67"/>
      <c r="BJ40" s="60">
        <f t="shared" si="45"/>
        <v>0</v>
      </c>
      <c r="BK40" s="67"/>
      <c r="BL40" s="67"/>
      <c r="BM40" s="60">
        <f t="shared" si="46"/>
        <v>0</v>
      </c>
      <c r="BN40" s="67"/>
      <c r="BO40" s="67"/>
      <c r="BP40" s="60">
        <f t="shared" si="47"/>
        <v>0</v>
      </c>
      <c r="BQ40" s="67"/>
      <c r="BR40" s="67"/>
      <c r="BS40" s="60">
        <f t="shared" si="48"/>
        <v>0</v>
      </c>
      <c r="BT40" s="67"/>
      <c r="BU40" s="67"/>
      <c r="BV40" s="60">
        <f t="shared" si="49"/>
        <v>0</v>
      </c>
      <c r="BW40" s="43">
        <f t="shared" si="23"/>
        <v>0</v>
      </c>
      <c r="BX40" s="43">
        <f t="shared" si="23"/>
        <v>0</v>
      </c>
      <c r="BY40" s="43">
        <f t="shared" si="24"/>
        <v>0</v>
      </c>
      <c r="BZ40" s="43">
        <f t="shared" si="25"/>
        <v>0</v>
      </c>
      <c r="CA40" s="43">
        <f t="shared" si="25"/>
        <v>0</v>
      </c>
      <c r="CB40" s="43">
        <f t="shared" si="26"/>
        <v>0</v>
      </c>
    </row>
    <row r="41" spans="1:80" s="44" customFormat="1" ht="12" outlineLevel="2" x14ac:dyDescent="0.2">
      <c r="A41" s="38" t="s">
        <v>58</v>
      </c>
      <c r="B41" s="66" t="s">
        <v>59</v>
      </c>
      <c r="C41" s="67"/>
      <c r="D41" s="67"/>
      <c r="E41" s="60">
        <f t="shared" si="22"/>
        <v>0</v>
      </c>
      <c r="F41" s="67"/>
      <c r="G41" s="67"/>
      <c r="H41" s="60">
        <f t="shared" si="28"/>
        <v>0</v>
      </c>
      <c r="I41" s="67"/>
      <c r="J41" s="67"/>
      <c r="K41" s="60">
        <f t="shared" si="29"/>
        <v>0</v>
      </c>
      <c r="L41" s="67"/>
      <c r="M41" s="67"/>
      <c r="N41" s="60">
        <f t="shared" si="50"/>
        <v>0</v>
      </c>
      <c r="O41" s="67"/>
      <c r="P41" s="67"/>
      <c r="Q41" s="60">
        <f t="shared" si="30"/>
        <v>0</v>
      </c>
      <c r="R41" s="67"/>
      <c r="S41" s="67"/>
      <c r="T41" s="60">
        <f t="shared" si="31"/>
        <v>0</v>
      </c>
      <c r="U41" s="67"/>
      <c r="V41" s="67"/>
      <c r="W41" s="60">
        <f t="shared" si="32"/>
        <v>0</v>
      </c>
      <c r="X41" s="67"/>
      <c r="Y41" s="67"/>
      <c r="Z41" s="60">
        <f t="shared" si="33"/>
        <v>0</v>
      </c>
      <c r="AA41" s="67"/>
      <c r="AB41" s="67"/>
      <c r="AC41" s="60">
        <f t="shared" si="34"/>
        <v>0</v>
      </c>
      <c r="AD41" s="67"/>
      <c r="AE41" s="67"/>
      <c r="AF41" s="60">
        <f t="shared" si="35"/>
        <v>0</v>
      </c>
      <c r="AG41" s="67"/>
      <c r="AH41" s="67"/>
      <c r="AI41" s="60">
        <f t="shared" si="36"/>
        <v>0</v>
      </c>
      <c r="AJ41" s="67"/>
      <c r="AK41" s="67"/>
      <c r="AL41" s="60">
        <f t="shared" si="37"/>
        <v>0</v>
      </c>
      <c r="AM41" s="67"/>
      <c r="AN41" s="67"/>
      <c r="AO41" s="60">
        <f t="shared" si="38"/>
        <v>0</v>
      </c>
      <c r="AP41" s="67"/>
      <c r="AQ41" s="67"/>
      <c r="AR41" s="60">
        <f t="shared" si="39"/>
        <v>0</v>
      </c>
      <c r="AS41" s="67"/>
      <c r="AT41" s="67"/>
      <c r="AU41" s="60">
        <f t="shared" si="40"/>
        <v>0</v>
      </c>
      <c r="AV41" s="67"/>
      <c r="AW41" s="67"/>
      <c r="AX41" s="60">
        <f t="shared" si="41"/>
        <v>0</v>
      </c>
      <c r="AY41" s="67"/>
      <c r="AZ41" s="67"/>
      <c r="BA41" s="60">
        <f t="shared" si="42"/>
        <v>0</v>
      </c>
      <c r="BB41" s="67"/>
      <c r="BC41" s="67"/>
      <c r="BD41" s="60">
        <f t="shared" si="43"/>
        <v>0</v>
      </c>
      <c r="BE41" s="67"/>
      <c r="BF41" s="67"/>
      <c r="BG41" s="60">
        <f t="shared" si="44"/>
        <v>0</v>
      </c>
      <c r="BH41" s="67"/>
      <c r="BI41" s="67"/>
      <c r="BJ41" s="60">
        <f t="shared" si="45"/>
        <v>0</v>
      </c>
      <c r="BK41" s="67"/>
      <c r="BL41" s="67"/>
      <c r="BM41" s="60">
        <f t="shared" si="46"/>
        <v>0</v>
      </c>
      <c r="BN41" s="67"/>
      <c r="BO41" s="67"/>
      <c r="BP41" s="60">
        <f t="shared" si="47"/>
        <v>0</v>
      </c>
      <c r="BQ41" s="67"/>
      <c r="BR41" s="67"/>
      <c r="BS41" s="60">
        <f t="shared" si="48"/>
        <v>0</v>
      </c>
      <c r="BT41" s="67"/>
      <c r="BU41" s="67"/>
      <c r="BV41" s="60">
        <f t="shared" si="49"/>
        <v>0</v>
      </c>
      <c r="BW41" s="43">
        <f t="shared" si="23"/>
        <v>0</v>
      </c>
      <c r="BX41" s="43">
        <f t="shared" si="23"/>
        <v>0</v>
      </c>
      <c r="BY41" s="43">
        <f t="shared" si="24"/>
        <v>0</v>
      </c>
      <c r="BZ41" s="43">
        <f t="shared" si="25"/>
        <v>0</v>
      </c>
      <c r="CA41" s="43">
        <f t="shared" si="25"/>
        <v>0</v>
      </c>
      <c r="CB41" s="43">
        <f t="shared" si="26"/>
        <v>0</v>
      </c>
    </row>
    <row r="42" spans="1:80" s="44" customFormat="1" ht="24" outlineLevel="2" x14ac:dyDescent="0.2">
      <c r="A42" s="38" t="s">
        <v>60</v>
      </c>
      <c r="B42" s="66" t="s">
        <v>61</v>
      </c>
      <c r="C42" s="67"/>
      <c r="D42" s="67"/>
      <c r="E42" s="60">
        <f t="shared" si="22"/>
        <v>0</v>
      </c>
      <c r="F42" s="67"/>
      <c r="G42" s="67"/>
      <c r="H42" s="60">
        <f t="shared" si="28"/>
        <v>0</v>
      </c>
      <c r="I42" s="67"/>
      <c r="J42" s="67"/>
      <c r="K42" s="60">
        <f t="shared" si="29"/>
        <v>0</v>
      </c>
      <c r="L42" s="67"/>
      <c r="M42" s="67"/>
      <c r="N42" s="60">
        <f t="shared" si="50"/>
        <v>0</v>
      </c>
      <c r="O42" s="67"/>
      <c r="P42" s="67"/>
      <c r="Q42" s="60">
        <f t="shared" si="30"/>
        <v>0</v>
      </c>
      <c r="R42" s="67"/>
      <c r="S42" s="67"/>
      <c r="T42" s="60">
        <f t="shared" si="31"/>
        <v>0</v>
      </c>
      <c r="U42" s="67"/>
      <c r="V42" s="67"/>
      <c r="W42" s="60">
        <f t="shared" si="32"/>
        <v>0</v>
      </c>
      <c r="X42" s="67"/>
      <c r="Y42" s="67"/>
      <c r="Z42" s="60">
        <f t="shared" si="33"/>
        <v>0</v>
      </c>
      <c r="AA42" s="67"/>
      <c r="AB42" s="67"/>
      <c r="AC42" s="60">
        <f t="shared" si="34"/>
        <v>0</v>
      </c>
      <c r="AD42" s="67"/>
      <c r="AE42" s="67"/>
      <c r="AF42" s="60">
        <f t="shared" si="35"/>
        <v>0</v>
      </c>
      <c r="AG42" s="67"/>
      <c r="AH42" s="67"/>
      <c r="AI42" s="60">
        <f t="shared" si="36"/>
        <v>0</v>
      </c>
      <c r="AJ42" s="67"/>
      <c r="AK42" s="67"/>
      <c r="AL42" s="60">
        <f t="shared" si="37"/>
        <v>0</v>
      </c>
      <c r="AM42" s="67"/>
      <c r="AN42" s="67"/>
      <c r="AO42" s="60">
        <f t="shared" si="38"/>
        <v>0</v>
      </c>
      <c r="AP42" s="67"/>
      <c r="AQ42" s="67"/>
      <c r="AR42" s="60">
        <f t="shared" si="39"/>
        <v>0</v>
      </c>
      <c r="AS42" s="67"/>
      <c r="AT42" s="67"/>
      <c r="AU42" s="60">
        <f t="shared" si="40"/>
        <v>0</v>
      </c>
      <c r="AV42" s="67"/>
      <c r="AW42" s="67"/>
      <c r="AX42" s="60">
        <f t="shared" si="41"/>
        <v>0</v>
      </c>
      <c r="AY42" s="67"/>
      <c r="AZ42" s="67"/>
      <c r="BA42" s="60">
        <f t="shared" si="42"/>
        <v>0</v>
      </c>
      <c r="BB42" s="67"/>
      <c r="BC42" s="67"/>
      <c r="BD42" s="60">
        <f t="shared" si="43"/>
        <v>0</v>
      </c>
      <c r="BE42" s="67"/>
      <c r="BF42" s="67"/>
      <c r="BG42" s="60">
        <f t="shared" si="44"/>
        <v>0</v>
      </c>
      <c r="BH42" s="67"/>
      <c r="BI42" s="67"/>
      <c r="BJ42" s="60">
        <f t="shared" si="45"/>
        <v>0</v>
      </c>
      <c r="BK42" s="67"/>
      <c r="BL42" s="67"/>
      <c r="BM42" s="60">
        <f t="shared" si="46"/>
        <v>0</v>
      </c>
      <c r="BN42" s="67"/>
      <c r="BO42" s="67"/>
      <c r="BP42" s="60">
        <f t="shared" si="47"/>
        <v>0</v>
      </c>
      <c r="BQ42" s="67"/>
      <c r="BR42" s="67"/>
      <c r="BS42" s="60">
        <f t="shared" si="48"/>
        <v>0</v>
      </c>
      <c r="BT42" s="67"/>
      <c r="BU42" s="67"/>
      <c r="BV42" s="60">
        <f t="shared" si="49"/>
        <v>0</v>
      </c>
      <c r="BW42" s="43">
        <f t="shared" si="23"/>
        <v>0</v>
      </c>
      <c r="BX42" s="43">
        <f t="shared" si="23"/>
        <v>0</v>
      </c>
      <c r="BY42" s="43">
        <f t="shared" si="24"/>
        <v>0</v>
      </c>
      <c r="BZ42" s="43">
        <f t="shared" si="25"/>
        <v>0</v>
      </c>
      <c r="CA42" s="43">
        <f t="shared" si="25"/>
        <v>0</v>
      </c>
      <c r="CB42" s="43">
        <f t="shared" si="26"/>
        <v>0</v>
      </c>
    </row>
    <row r="43" spans="1:80" s="15" customFormat="1" outlineLevel="1" x14ac:dyDescent="0.2">
      <c r="A43" s="33">
        <v>126</v>
      </c>
      <c r="B43" s="64" t="s">
        <v>62</v>
      </c>
      <c r="C43" s="68"/>
      <c r="D43" s="68"/>
      <c r="E43" s="69">
        <f t="shared" si="22"/>
        <v>0</v>
      </c>
      <c r="F43" s="68"/>
      <c r="G43" s="68"/>
      <c r="H43" s="69">
        <f t="shared" si="28"/>
        <v>0</v>
      </c>
      <c r="I43" s="68"/>
      <c r="J43" s="68"/>
      <c r="K43" s="69">
        <f t="shared" si="29"/>
        <v>0</v>
      </c>
      <c r="L43" s="68"/>
      <c r="M43" s="68"/>
      <c r="N43" s="69">
        <f t="shared" si="50"/>
        <v>0</v>
      </c>
      <c r="O43" s="68"/>
      <c r="P43" s="68"/>
      <c r="Q43" s="69">
        <f t="shared" si="30"/>
        <v>0</v>
      </c>
      <c r="R43" s="68"/>
      <c r="S43" s="68"/>
      <c r="T43" s="69">
        <f t="shared" si="31"/>
        <v>0</v>
      </c>
      <c r="U43" s="68"/>
      <c r="V43" s="68"/>
      <c r="W43" s="69">
        <f t="shared" si="32"/>
        <v>0</v>
      </c>
      <c r="X43" s="68"/>
      <c r="Y43" s="68"/>
      <c r="Z43" s="69">
        <f t="shared" si="33"/>
        <v>0</v>
      </c>
      <c r="AA43" s="68"/>
      <c r="AB43" s="68"/>
      <c r="AC43" s="69">
        <f t="shared" si="34"/>
        <v>0</v>
      </c>
      <c r="AD43" s="68"/>
      <c r="AE43" s="68"/>
      <c r="AF43" s="69">
        <f t="shared" si="35"/>
        <v>0</v>
      </c>
      <c r="AG43" s="68"/>
      <c r="AH43" s="68"/>
      <c r="AI43" s="69">
        <f t="shared" si="36"/>
        <v>0</v>
      </c>
      <c r="AJ43" s="68"/>
      <c r="AK43" s="68"/>
      <c r="AL43" s="69">
        <f t="shared" si="37"/>
        <v>0</v>
      </c>
      <c r="AM43" s="68"/>
      <c r="AN43" s="68"/>
      <c r="AO43" s="69">
        <f t="shared" si="38"/>
        <v>0</v>
      </c>
      <c r="AP43" s="68"/>
      <c r="AQ43" s="68"/>
      <c r="AR43" s="69">
        <f t="shared" si="39"/>
        <v>0</v>
      </c>
      <c r="AS43" s="68"/>
      <c r="AT43" s="68"/>
      <c r="AU43" s="69">
        <f t="shared" si="40"/>
        <v>0</v>
      </c>
      <c r="AV43" s="68"/>
      <c r="AW43" s="68"/>
      <c r="AX43" s="69">
        <f t="shared" si="41"/>
        <v>0</v>
      </c>
      <c r="AY43" s="68"/>
      <c r="AZ43" s="68"/>
      <c r="BA43" s="69">
        <f t="shared" si="42"/>
        <v>0</v>
      </c>
      <c r="BB43" s="68"/>
      <c r="BC43" s="68"/>
      <c r="BD43" s="69">
        <f t="shared" si="43"/>
        <v>0</v>
      </c>
      <c r="BE43" s="68"/>
      <c r="BF43" s="68"/>
      <c r="BG43" s="69">
        <f t="shared" si="44"/>
        <v>0</v>
      </c>
      <c r="BH43" s="68"/>
      <c r="BI43" s="68"/>
      <c r="BJ43" s="69">
        <f t="shared" si="45"/>
        <v>0</v>
      </c>
      <c r="BK43" s="68"/>
      <c r="BL43" s="68"/>
      <c r="BM43" s="69">
        <f t="shared" si="46"/>
        <v>0</v>
      </c>
      <c r="BN43" s="68"/>
      <c r="BO43" s="68"/>
      <c r="BP43" s="69">
        <f t="shared" si="47"/>
        <v>0</v>
      </c>
      <c r="BQ43" s="68"/>
      <c r="BR43" s="68"/>
      <c r="BS43" s="69">
        <f t="shared" si="48"/>
        <v>0</v>
      </c>
      <c r="BT43" s="68"/>
      <c r="BU43" s="68"/>
      <c r="BV43" s="69">
        <f t="shared" si="49"/>
        <v>0</v>
      </c>
      <c r="BW43" s="36">
        <f t="shared" si="23"/>
        <v>0</v>
      </c>
      <c r="BX43" s="36">
        <f t="shared" si="23"/>
        <v>0</v>
      </c>
      <c r="BY43" s="36">
        <f t="shared" si="24"/>
        <v>0</v>
      </c>
      <c r="BZ43" s="36">
        <f t="shared" si="25"/>
        <v>0</v>
      </c>
      <c r="CA43" s="36">
        <f t="shared" si="25"/>
        <v>0</v>
      </c>
      <c r="CB43" s="36">
        <f t="shared" si="26"/>
        <v>0</v>
      </c>
    </row>
    <row r="44" spans="1:80" s="15" customFormat="1" outlineLevel="1" x14ac:dyDescent="0.2">
      <c r="A44" s="33">
        <v>127</v>
      </c>
      <c r="B44" s="70" t="s">
        <v>63</v>
      </c>
      <c r="C44" s="71"/>
      <c r="D44" s="71"/>
      <c r="E44" s="72">
        <f t="shared" si="22"/>
        <v>0</v>
      </c>
      <c r="F44" s="71"/>
      <c r="G44" s="71"/>
      <c r="H44" s="72">
        <f t="shared" si="28"/>
        <v>0</v>
      </c>
      <c r="I44" s="71"/>
      <c r="J44" s="71"/>
      <c r="K44" s="72">
        <f t="shared" si="29"/>
        <v>0</v>
      </c>
      <c r="L44" s="71"/>
      <c r="M44" s="71"/>
      <c r="N44" s="72">
        <f t="shared" si="50"/>
        <v>0</v>
      </c>
      <c r="O44" s="71"/>
      <c r="P44" s="71"/>
      <c r="Q44" s="72">
        <f t="shared" si="30"/>
        <v>0</v>
      </c>
      <c r="R44" s="71"/>
      <c r="S44" s="71"/>
      <c r="T44" s="72">
        <f t="shared" si="31"/>
        <v>0</v>
      </c>
      <c r="U44" s="71"/>
      <c r="V44" s="71"/>
      <c r="W44" s="72">
        <f t="shared" si="32"/>
        <v>0</v>
      </c>
      <c r="X44" s="71"/>
      <c r="Y44" s="71"/>
      <c r="Z44" s="72">
        <f t="shared" si="33"/>
        <v>0</v>
      </c>
      <c r="AA44" s="71"/>
      <c r="AB44" s="71"/>
      <c r="AC44" s="72">
        <f t="shared" si="34"/>
        <v>0</v>
      </c>
      <c r="AD44" s="71"/>
      <c r="AE44" s="71"/>
      <c r="AF44" s="72">
        <f t="shared" si="35"/>
        <v>0</v>
      </c>
      <c r="AG44" s="71"/>
      <c r="AH44" s="71"/>
      <c r="AI44" s="72">
        <f t="shared" si="36"/>
        <v>0</v>
      </c>
      <c r="AJ44" s="71"/>
      <c r="AK44" s="71"/>
      <c r="AL44" s="72">
        <f t="shared" si="37"/>
        <v>0</v>
      </c>
      <c r="AM44" s="71"/>
      <c r="AN44" s="71"/>
      <c r="AO44" s="72">
        <f t="shared" si="38"/>
        <v>0</v>
      </c>
      <c r="AP44" s="71"/>
      <c r="AQ44" s="71"/>
      <c r="AR44" s="72">
        <f t="shared" si="39"/>
        <v>0</v>
      </c>
      <c r="AS44" s="71"/>
      <c r="AT44" s="71"/>
      <c r="AU44" s="72">
        <f t="shared" si="40"/>
        <v>0</v>
      </c>
      <c r="AV44" s="71"/>
      <c r="AW44" s="71"/>
      <c r="AX44" s="72">
        <f t="shared" si="41"/>
        <v>0</v>
      </c>
      <c r="AY44" s="71"/>
      <c r="AZ44" s="71"/>
      <c r="BA44" s="72">
        <f t="shared" si="42"/>
        <v>0</v>
      </c>
      <c r="BB44" s="71"/>
      <c r="BC44" s="71"/>
      <c r="BD44" s="72">
        <f t="shared" si="43"/>
        <v>0</v>
      </c>
      <c r="BE44" s="71"/>
      <c r="BF44" s="71"/>
      <c r="BG44" s="72">
        <f t="shared" si="44"/>
        <v>0</v>
      </c>
      <c r="BH44" s="71"/>
      <c r="BI44" s="71"/>
      <c r="BJ44" s="72">
        <f t="shared" si="45"/>
        <v>0</v>
      </c>
      <c r="BK44" s="71"/>
      <c r="BL44" s="71"/>
      <c r="BM44" s="72">
        <f t="shared" si="46"/>
        <v>0</v>
      </c>
      <c r="BN44" s="71"/>
      <c r="BO44" s="71"/>
      <c r="BP44" s="72">
        <f t="shared" si="47"/>
        <v>0</v>
      </c>
      <c r="BQ44" s="71"/>
      <c r="BR44" s="71"/>
      <c r="BS44" s="72">
        <f t="shared" si="48"/>
        <v>0</v>
      </c>
      <c r="BT44" s="71"/>
      <c r="BU44" s="71"/>
      <c r="BV44" s="72">
        <f t="shared" si="49"/>
        <v>0</v>
      </c>
      <c r="BW44" s="36">
        <f t="shared" si="23"/>
        <v>0</v>
      </c>
      <c r="BX44" s="36">
        <f t="shared" si="23"/>
        <v>0</v>
      </c>
      <c r="BY44" s="36">
        <f t="shared" si="24"/>
        <v>0</v>
      </c>
      <c r="BZ44" s="36">
        <f t="shared" si="25"/>
        <v>0</v>
      </c>
      <c r="CA44" s="36">
        <f t="shared" si="25"/>
        <v>0</v>
      </c>
      <c r="CB44" s="36">
        <f t="shared" si="26"/>
        <v>0</v>
      </c>
    </row>
    <row r="45" spans="1:80" s="15" customFormat="1" outlineLevel="1" x14ac:dyDescent="0.2">
      <c r="A45" s="33">
        <v>128</v>
      </c>
      <c r="B45" s="49" t="s">
        <v>64</v>
      </c>
      <c r="C45" s="51"/>
      <c r="D45" s="51"/>
      <c r="E45" s="52">
        <f t="shared" si="22"/>
        <v>0</v>
      </c>
      <c r="F45" s="51"/>
      <c r="G45" s="51"/>
      <c r="H45" s="52">
        <f t="shared" si="28"/>
        <v>0</v>
      </c>
      <c r="I45" s="51"/>
      <c r="J45" s="51"/>
      <c r="K45" s="52">
        <f t="shared" si="29"/>
        <v>0</v>
      </c>
      <c r="L45" s="51"/>
      <c r="M45" s="51"/>
      <c r="N45" s="52">
        <f t="shared" si="50"/>
        <v>0</v>
      </c>
      <c r="O45" s="51"/>
      <c r="P45" s="51"/>
      <c r="Q45" s="52">
        <f t="shared" si="30"/>
        <v>0</v>
      </c>
      <c r="R45" s="51"/>
      <c r="S45" s="51"/>
      <c r="T45" s="52">
        <f t="shared" si="31"/>
        <v>0</v>
      </c>
      <c r="U45" s="51"/>
      <c r="V45" s="51"/>
      <c r="W45" s="52">
        <f t="shared" si="32"/>
        <v>0</v>
      </c>
      <c r="X45" s="51"/>
      <c r="Y45" s="51"/>
      <c r="Z45" s="52">
        <f t="shared" si="33"/>
        <v>0</v>
      </c>
      <c r="AA45" s="51"/>
      <c r="AB45" s="51"/>
      <c r="AC45" s="52">
        <f t="shared" si="34"/>
        <v>0</v>
      </c>
      <c r="AD45" s="51"/>
      <c r="AE45" s="51"/>
      <c r="AF45" s="52">
        <f t="shared" si="35"/>
        <v>0</v>
      </c>
      <c r="AG45" s="51"/>
      <c r="AH45" s="51"/>
      <c r="AI45" s="52">
        <f t="shared" si="36"/>
        <v>0</v>
      </c>
      <c r="AJ45" s="51"/>
      <c r="AK45" s="51"/>
      <c r="AL45" s="52">
        <f t="shared" si="37"/>
        <v>0</v>
      </c>
      <c r="AM45" s="51"/>
      <c r="AN45" s="51"/>
      <c r="AO45" s="52">
        <f t="shared" si="38"/>
        <v>0</v>
      </c>
      <c r="AP45" s="51"/>
      <c r="AQ45" s="51"/>
      <c r="AR45" s="52">
        <f t="shared" si="39"/>
        <v>0</v>
      </c>
      <c r="AS45" s="51"/>
      <c r="AT45" s="51"/>
      <c r="AU45" s="52">
        <f t="shared" si="40"/>
        <v>0</v>
      </c>
      <c r="AV45" s="51"/>
      <c r="AW45" s="51"/>
      <c r="AX45" s="52">
        <f t="shared" si="41"/>
        <v>0</v>
      </c>
      <c r="AY45" s="51"/>
      <c r="AZ45" s="51"/>
      <c r="BA45" s="52">
        <f t="shared" si="42"/>
        <v>0</v>
      </c>
      <c r="BB45" s="51"/>
      <c r="BC45" s="51"/>
      <c r="BD45" s="52">
        <f t="shared" si="43"/>
        <v>0</v>
      </c>
      <c r="BE45" s="51"/>
      <c r="BF45" s="51"/>
      <c r="BG45" s="52">
        <f t="shared" si="44"/>
        <v>0</v>
      </c>
      <c r="BH45" s="51"/>
      <c r="BI45" s="51"/>
      <c r="BJ45" s="52">
        <f t="shared" si="45"/>
        <v>0</v>
      </c>
      <c r="BK45" s="51"/>
      <c r="BL45" s="51"/>
      <c r="BM45" s="52">
        <f t="shared" si="46"/>
        <v>0</v>
      </c>
      <c r="BN45" s="51"/>
      <c r="BO45" s="51"/>
      <c r="BP45" s="52">
        <f t="shared" si="47"/>
        <v>0</v>
      </c>
      <c r="BQ45" s="51"/>
      <c r="BR45" s="51"/>
      <c r="BS45" s="52">
        <f t="shared" si="48"/>
        <v>0</v>
      </c>
      <c r="BT45" s="51"/>
      <c r="BU45" s="51"/>
      <c r="BV45" s="52">
        <f t="shared" si="49"/>
        <v>0</v>
      </c>
      <c r="BW45" s="36">
        <f t="shared" si="23"/>
        <v>0</v>
      </c>
      <c r="BX45" s="36">
        <f t="shared" si="23"/>
        <v>0</v>
      </c>
      <c r="BY45" s="36">
        <f t="shared" si="24"/>
        <v>0</v>
      </c>
      <c r="BZ45" s="36">
        <f t="shared" si="25"/>
        <v>0</v>
      </c>
      <c r="CA45" s="36">
        <f t="shared" si="25"/>
        <v>0</v>
      </c>
      <c r="CB45" s="36">
        <f t="shared" si="26"/>
        <v>0</v>
      </c>
    </row>
    <row r="46" spans="1:80" s="15" customFormat="1" outlineLevel="1" x14ac:dyDescent="0.2">
      <c r="A46" s="33">
        <v>129</v>
      </c>
      <c r="B46" s="49" t="s">
        <v>65</v>
      </c>
      <c r="C46" s="51"/>
      <c r="D46" s="51"/>
      <c r="E46" s="52">
        <f t="shared" si="22"/>
        <v>0</v>
      </c>
      <c r="F46" s="51"/>
      <c r="G46" s="51"/>
      <c r="H46" s="52">
        <f t="shared" si="28"/>
        <v>0</v>
      </c>
      <c r="I46" s="51"/>
      <c r="J46" s="62"/>
      <c r="K46" s="52">
        <f t="shared" si="29"/>
        <v>0</v>
      </c>
      <c r="L46" s="51"/>
      <c r="M46" s="51"/>
      <c r="N46" s="52">
        <f t="shared" si="50"/>
        <v>0</v>
      </c>
      <c r="O46" s="51"/>
      <c r="P46" s="51"/>
      <c r="Q46" s="52">
        <f t="shared" si="30"/>
        <v>0</v>
      </c>
      <c r="R46" s="51"/>
      <c r="S46" s="51"/>
      <c r="T46" s="52">
        <f t="shared" si="31"/>
        <v>0</v>
      </c>
      <c r="U46" s="51">
        <f>6020</f>
        <v>6020</v>
      </c>
      <c r="V46" s="51">
        <f>1100+21110+945</f>
        <v>23155</v>
      </c>
      <c r="W46" s="52">
        <f t="shared" si="32"/>
        <v>29175</v>
      </c>
      <c r="X46" s="51"/>
      <c r="Y46" s="51"/>
      <c r="Z46" s="52">
        <f t="shared" si="33"/>
        <v>0</v>
      </c>
      <c r="AA46" s="51"/>
      <c r="AB46" s="51">
        <f>31000+2521+6622+88880+2600+1608+110000+5843+8300+12800</f>
        <v>270174</v>
      </c>
      <c r="AC46" s="52">
        <f t="shared" si="34"/>
        <v>270174</v>
      </c>
      <c r="AD46" s="51"/>
      <c r="AE46" s="51"/>
      <c r="AF46" s="52">
        <f t="shared" si="35"/>
        <v>0</v>
      </c>
      <c r="AG46" s="51">
        <v>1720</v>
      </c>
      <c r="AH46" s="51">
        <f>1351+3145+8533+8665+4968+27858+930+8063+357</f>
        <v>63870</v>
      </c>
      <c r="AI46" s="52">
        <f t="shared" si="36"/>
        <v>65590</v>
      </c>
      <c r="AJ46" s="51"/>
      <c r="AK46" s="51"/>
      <c r="AL46" s="52">
        <f t="shared" si="37"/>
        <v>0</v>
      </c>
      <c r="AM46" s="51"/>
      <c r="AN46" s="51">
        <f>1137+279+850+2015+486+17146+50000+1000+3900</f>
        <v>76813</v>
      </c>
      <c r="AO46" s="52">
        <f t="shared" si="38"/>
        <v>76813</v>
      </c>
      <c r="AP46" s="51"/>
      <c r="AQ46" s="51"/>
      <c r="AR46" s="52">
        <f t="shared" si="39"/>
        <v>0</v>
      </c>
      <c r="AS46" s="51">
        <f>46500+18051.5</f>
        <v>64551.5</v>
      </c>
      <c r="AT46" s="51">
        <f>31242</f>
        <v>31242</v>
      </c>
      <c r="AU46" s="52">
        <f t="shared" si="40"/>
        <v>95793.5</v>
      </c>
      <c r="AV46" s="51"/>
      <c r="AW46" s="51"/>
      <c r="AX46" s="52">
        <f t="shared" si="41"/>
        <v>0</v>
      </c>
      <c r="AY46" s="51"/>
      <c r="AZ46" s="51"/>
      <c r="BA46" s="52">
        <f t="shared" si="42"/>
        <v>0</v>
      </c>
      <c r="BB46" s="51"/>
      <c r="BC46" s="51"/>
      <c r="BD46" s="52">
        <f t="shared" si="43"/>
        <v>0</v>
      </c>
      <c r="BE46" s="51"/>
      <c r="BF46" s="51"/>
      <c r="BG46" s="52">
        <f t="shared" si="44"/>
        <v>0</v>
      </c>
      <c r="BH46" s="62"/>
      <c r="BI46" s="51"/>
      <c r="BJ46" s="52">
        <f t="shared" si="45"/>
        <v>0</v>
      </c>
      <c r="BK46" s="51"/>
      <c r="BL46" s="51"/>
      <c r="BM46" s="52">
        <f t="shared" si="46"/>
        <v>0</v>
      </c>
      <c r="BN46" s="51"/>
      <c r="BO46" s="51"/>
      <c r="BP46" s="52">
        <f t="shared" si="47"/>
        <v>0</v>
      </c>
      <c r="BQ46" s="51"/>
      <c r="BR46" s="51"/>
      <c r="BS46" s="52">
        <f t="shared" si="48"/>
        <v>0</v>
      </c>
      <c r="BT46" s="62"/>
      <c r="BU46" s="51"/>
      <c r="BV46" s="52">
        <f t="shared" si="49"/>
        <v>0</v>
      </c>
      <c r="BW46" s="36">
        <f t="shared" si="23"/>
        <v>72291.5</v>
      </c>
      <c r="BX46" s="36">
        <f t="shared" si="23"/>
        <v>465254</v>
      </c>
      <c r="BY46" s="36">
        <f t="shared" si="24"/>
        <v>537545.5</v>
      </c>
      <c r="BZ46" s="36">
        <f t="shared" si="25"/>
        <v>0</v>
      </c>
      <c r="CA46" s="36">
        <f t="shared" si="25"/>
        <v>0</v>
      </c>
      <c r="CB46" s="36">
        <f t="shared" si="26"/>
        <v>0</v>
      </c>
    </row>
    <row r="47" spans="1:80" s="44" customFormat="1" ht="24" outlineLevel="1" x14ac:dyDescent="0.2">
      <c r="A47" s="38"/>
      <c r="B47" s="39" t="s">
        <v>66</v>
      </c>
      <c r="C47" s="63"/>
      <c r="D47" s="63"/>
      <c r="E47" s="60">
        <f t="shared" si="22"/>
        <v>0</v>
      </c>
      <c r="F47" s="63"/>
      <c r="G47" s="63"/>
      <c r="H47" s="60">
        <f t="shared" si="28"/>
        <v>0</v>
      </c>
      <c r="I47" s="63"/>
      <c r="J47" s="63"/>
      <c r="K47" s="60">
        <f t="shared" si="29"/>
        <v>0</v>
      </c>
      <c r="L47" s="63"/>
      <c r="M47" s="63"/>
      <c r="N47" s="60">
        <f t="shared" si="50"/>
        <v>0</v>
      </c>
      <c r="O47" s="63"/>
      <c r="P47" s="63"/>
      <c r="Q47" s="60">
        <f t="shared" si="30"/>
        <v>0</v>
      </c>
      <c r="R47" s="63"/>
      <c r="S47" s="63"/>
      <c r="T47" s="60">
        <f t="shared" si="31"/>
        <v>0</v>
      </c>
      <c r="U47" s="63"/>
      <c r="V47" s="63"/>
      <c r="W47" s="60">
        <f t="shared" si="32"/>
        <v>0</v>
      </c>
      <c r="X47" s="63"/>
      <c r="Y47" s="63"/>
      <c r="Z47" s="60">
        <f t="shared" si="33"/>
        <v>0</v>
      </c>
      <c r="AA47" s="63"/>
      <c r="AB47" s="63"/>
      <c r="AC47" s="60">
        <f t="shared" si="34"/>
        <v>0</v>
      </c>
      <c r="AD47" s="63"/>
      <c r="AE47" s="63"/>
      <c r="AF47" s="60">
        <f t="shared" si="35"/>
        <v>0</v>
      </c>
      <c r="AG47" s="63"/>
      <c r="AH47" s="63"/>
      <c r="AI47" s="60">
        <f t="shared" si="36"/>
        <v>0</v>
      </c>
      <c r="AJ47" s="63"/>
      <c r="AK47" s="63"/>
      <c r="AL47" s="60">
        <f t="shared" si="37"/>
        <v>0</v>
      </c>
      <c r="AM47" s="63"/>
      <c r="AN47" s="63"/>
      <c r="AO47" s="60">
        <f t="shared" si="38"/>
        <v>0</v>
      </c>
      <c r="AP47" s="63"/>
      <c r="AQ47" s="63"/>
      <c r="AR47" s="60">
        <f t="shared" si="39"/>
        <v>0</v>
      </c>
      <c r="AS47" s="63"/>
      <c r="AT47" s="63"/>
      <c r="AU47" s="60">
        <f t="shared" si="40"/>
        <v>0</v>
      </c>
      <c r="AV47" s="63"/>
      <c r="AW47" s="63"/>
      <c r="AX47" s="60">
        <f t="shared" si="41"/>
        <v>0</v>
      </c>
      <c r="AY47" s="63"/>
      <c r="AZ47" s="63"/>
      <c r="BA47" s="60">
        <f t="shared" si="42"/>
        <v>0</v>
      </c>
      <c r="BB47" s="63"/>
      <c r="BC47" s="63"/>
      <c r="BD47" s="60">
        <f t="shared" si="43"/>
        <v>0</v>
      </c>
      <c r="BE47" s="63"/>
      <c r="BF47" s="63"/>
      <c r="BG47" s="60">
        <f t="shared" si="44"/>
        <v>0</v>
      </c>
      <c r="BH47" s="63"/>
      <c r="BI47" s="63"/>
      <c r="BJ47" s="60">
        <f t="shared" si="45"/>
        <v>0</v>
      </c>
      <c r="BK47" s="63"/>
      <c r="BL47" s="63"/>
      <c r="BM47" s="60">
        <f t="shared" si="46"/>
        <v>0</v>
      </c>
      <c r="BN47" s="63"/>
      <c r="BO47" s="63"/>
      <c r="BP47" s="60">
        <f t="shared" si="47"/>
        <v>0</v>
      </c>
      <c r="BQ47" s="63"/>
      <c r="BR47" s="63"/>
      <c r="BS47" s="60">
        <f t="shared" si="48"/>
        <v>0</v>
      </c>
      <c r="BT47" s="63"/>
      <c r="BU47" s="63"/>
      <c r="BV47" s="60">
        <f t="shared" si="49"/>
        <v>0</v>
      </c>
      <c r="BW47" s="43">
        <f t="shared" si="23"/>
        <v>0</v>
      </c>
      <c r="BX47" s="43">
        <f t="shared" si="23"/>
        <v>0</v>
      </c>
      <c r="BY47" s="43">
        <f t="shared" si="24"/>
        <v>0</v>
      </c>
      <c r="BZ47" s="43">
        <f t="shared" si="25"/>
        <v>0</v>
      </c>
      <c r="CA47" s="43">
        <f t="shared" si="25"/>
        <v>0</v>
      </c>
      <c r="CB47" s="43">
        <f t="shared" si="26"/>
        <v>0</v>
      </c>
    </row>
    <row r="48" spans="1:80" s="15" customFormat="1" outlineLevel="1" x14ac:dyDescent="0.2">
      <c r="A48" s="33">
        <v>130</v>
      </c>
      <c r="B48" s="49" t="s">
        <v>67</v>
      </c>
      <c r="C48" s="51"/>
      <c r="D48" s="51"/>
      <c r="E48" s="52">
        <f t="shared" si="22"/>
        <v>0</v>
      </c>
      <c r="F48" s="62"/>
      <c r="G48" s="51"/>
      <c r="H48" s="52">
        <f t="shared" si="28"/>
        <v>0</v>
      </c>
      <c r="I48" s="62"/>
      <c r="J48" s="62"/>
      <c r="K48" s="52">
        <f t="shared" si="29"/>
        <v>0</v>
      </c>
      <c r="L48" s="62"/>
      <c r="M48" s="51"/>
      <c r="N48" s="52">
        <f t="shared" si="50"/>
        <v>0</v>
      </c>
      <c r="O48" s="51">
        <f>823+1500+500</f>
        <v>2823</v>
      </c>
      <c r="P48" s="51">
        <f>600+1500</f>
        <v>2100</v>
      </c>
      <c r="Q48" s="52">
        <f t="shared" si="30"/>
        <v>4923</v>
      </c>
      <c r="R48" s="62">
        <v>660</v>
      </c>
      <c r="S48" s="51"/>
      <c r="T48" s="52">
        <f t="shared" si="31"/>
        <v>660</v>
      </c>
      <c r="U48" s="51">
        <f>1500+18857</f>
        <v>20357</v>
      </c>
      <c r="V48" s="51">
        <f>1290+9000+700</f>
        <v>10990</v>
      </c>
      <c r="W48" s="52">
        <f t="shared" si="32"/>
        <v>31347</v>
      </c>
      <c r="X48" s="62">
        <f>3744+58270</f>
        <v>62014</v>
      </c>
      <c r="Y48" s="51"/>
      <c r="Z48" s="52">
        <f t="shared" si="33"/>
        <v>62014</v>
      </c>
      <c r="AA48" s="51">
        <f>1500+8915.15</f>
        <v>10415.15</v>
      </c>
      <c r="AB48" s="51">
        <f>17000+1062</f>
        <v>18062</v>
      </c>
      <c r="AC48" s="52">
        <f t="shared" si="34"/>
        <v>28477.15</v>
      </c>
      <c r="AD48" s="62"/>
      <c r="AE48" s="51"/>
      <c r="AF48" s="52">
        <f t="shared" si="35"/>
        <v>0</v>
      </c>
      <c r="AG48" s="51">
        <f>1500+4508.65</f>
        <v>6008.65</v>
      </c>
      <c r="AH48" s="51">
        <f>8000+7500+3800+5674</f>
        <v>24974</v>
      </c>
      <c r="AI48" s="52">
        <f t="shared" si="36"/>
        <v>30982.65</v>
      </c>
      <c r="AJ48" s="62">
        <f>5000+51718.1</f>
        <v>56718.1</v>
      </c>
      <c r="AK48" s="51"/>
      <c r="AL48" s="52">
        <f t="shared" si="37"/>
        <v>56718.1</v>
      </c>
      <c r="AM48" s="51">
        <f>1500+9039.1</f>
        <v>10539.1</v>
      </c>
      <c r="AN48" s="51">
        <f>1170+670+5300+6600+1382</f>
        <v>15122</v>
      </c>
      <c r="AO48" s="52">
        <f t="shared" si="38"/>
        <v>25661.1</v>
      </c>
      <c r="AP48" s="62">
        <f>60000+5000</f>
        <v>65000</v>
      </c>
      <c r="AQ48" s="51"/>
      <c r="AR48" s="52">
        <f t="shared" si="39"/>
        <v>65000</v>
      </c>
      <c r="AS48" s="51">
        <f>1500+5000</f>
        <v>6500</v>
      </c>
      <c r="AT48" s="51">
        <f>11489+73329</f>
        <v>84818</v>
      </c>
      <c r="AU48" s="52">
        <f t="shared" si="40"/>
        <v>91318</v>
      </c>
      <c r="AV48" s="62">
        <v>3200</v>
      </c>
      <c r="AW48" s="51"/>
      <c r="AX48" s="52">
        <f t="shared" si="41"/>
        <v>3200</v>
      </c>
      <c r="AY48" s="51"/>
      <c r="AZ48" s="51"/>
      <c r="BA48" s="52">
        <f t="shared" si="42"/>
        <v>0</v>
      </c>
      <c r="BB48" s="51"/>
      <c r="BC48" s="51"/>
      <c r="BD48" s="52">
        <f t="shared" si="43"/>
        <v>0</v>
      </c>
      <c r="BE48" s="51"/>
      <c r="BF48" s="51"/>
      <c r="BG48" s="52">
        <f t="shared" si="44"/>
        <v>0</v>
      </c>
      <c r="BH48" s="62"/>
      <c r="BI48" s="51"/>
      <c r="BJ48" s="52">
        <f t="shared" si="45"/>
        <v>0</v>
      </c>
      <c r="BK48" s="51"/>
      <c r="BL48" s="51"/>
      <c r="BM48" s="52">
        <f t="shared" si="46"/>
        <v>0</v>
      </c>
      <c r="BN48" s="62"/>
      <c r="BO48" s="51"/>
      <c r="BP48" s="52">
        <f t="shared" si="47"/>
        <v>0</v>
      </c>
      <c r="BQ48" s="51"/>
      <c r="BR48" s="51"/>
      <c r="BS48" s="52">
        <f t="shared" si="48"/>
        <v>0</v>
      </c>
      <c r="BT48" s="62"/>
      <c r="BU48" s="51"/>
      <c r="BV48" s="52">
        <f t="shared" si="49"/>
        <v>0</v>
      </c>
      <c r="BW48" s="36">
        <f t="shared" si="23"/>
        <v>56642.9</v>
      </c>
      <c r="BX48" s="36">
        <f t="shared" si="23"/>
        <v>156066</v>
      </c>
      <c r="BY48" s="36">
        <f t="shared" si="24"/>
        <v>212708.9</v>
      </c>
      <c r="BZ48" s="36">
        <f t="shared" si="25"/>
        <v>187592.1</v>
      </c>
      <c r="CA48" s="36">
        <f t="shared" si="25"/>
        <v>0</v>
      </c>
      <c r="CB48" s="36">
        <f t="shared" si="26"/>
        <v>187592.1</v>
      </c>
    </row>
    <row r="49" spans="1:80" s="44" customFormat="1" ht="24" outlineLevel="1" x14ac:dyDescent="0.2">
      <c r="A49" s="38"/>
      <c r="B49" s="39" t="s">
        <v>68</v>
      </c>
      <c r="C49" s="63"/>
      <c r="D49" s="63"/>
      <c r="E49" s="60">
        <f t="shared" si="22"/>
        <v>0</v>
      </c>
      <c r="F49" s="63"/>
      <c r="G49" s="63"/>
      <c r="H49" s="60">
        <f t="shared" si="28"/>
        <v>0</v>
      </c>
      <c r="I49" s="84"/>
      <c r="J49" s="63"/>
      <c r="K49" s="60">
        <f t="shared" si="29"/>
        <v>0</v>
      </c>
      <c r="L49" s="63"/>
      <c r="M49" s="63"/>
      <c r="N49" s="60">
        <f t="shared" si="50"/>
        <v>0</v>
      </c>
      <c r="O49" s="63"/>
      <c r="P49" s="63"/>
      <c r="Q49" s="60">
        <f t="shared" si="30"/>
        <v>0</v>
      </c>
      <c r="R49" s="63"/>
      <c r="S49" s="63"/>
      <c r="T49" s="60">
        <f t="shared" si="31"/>
        <v>0</v>
      </c>
      <c r="U49" s="63"/>
      <c r="V49" s="63"/>
      <c r="W49" s="60">
        <f t="shared" si="32"/>
        <v>0</v>
      </c>
      <c r="X49" s="63"/>
      <c r="Y49" s="63"/>
      <c r="Z49" s="60">
        <f t="shared" si="33"/>
        <v>0</v>
      </c>
      <c r="AA49" s="63"/>
      <c r="AB49" s="63"/>
      <c r="AC49" s="60">
        <f t="shared" si="34"/>
        <v>0</v>
      </c>
      <c r="AD49" s="63"/>
      <c r="AE49" s="63"/>
      <c r="AF49" s="60">
        <f t="shared" si="35"/>
        <v>0</v>
      </c>
      <c r="AG49" s="63"/>
      <c r="AH49" s="63"/>
      <c r="AI49" s="60">
        <f t="shared" si="36"/>
        <v>0</v>
      </c>
      <c r="AJ49" s="63"/>
      <c r="AK49" s="63"/>
      <c r="AL49" s="60">
        <f t="shared" si="37"/>
        <v>0</v>
      </c>
      <c r="AM49" s="63"/>
      <c r="AN49" s="63"/>
      <c r="AO49" s="60">
        <f t="shared" si="38"/>
        <v>0</v>
      </c>
      <c r="AP49" s="63"/>
      <c r="AQ49" s="63"/>
      <c r="AR49" s="60">
        <f t="shared" si="39"/>
        <v>0</v>
      </c>
      <c r="AS49" s="63"/>
      <c r="AT49" s="63"/>
      <c r="AU49" s="60">
        <f t="shared" si="40"/>
        <v>0</v>
      </c>
      <c r="AV49" s="63"/>
      <c r="AW49" s="63"/>
      <c r="AX49" s="60">
        <f t="shared" si="41"/>
        <v>0</v>
      </c>
      <c r="AY49" s="63"/>
      <c r="AZ49" s="63"/>
      <c r="BA49" s="60">
        <f t="shared" si="42"/>
        <v>0</v>
      </c>
      <c r="BB49" s="63"/>
      <c r="BC49" s="63"/>
      <c r="BD49" s="60">
        <f t="shared" si="43"/>
        <v>0</v>
      </c>
      <c r="BE49" s="63"/>
      <c r="BF49" s="63"/>
      <c r="BG49" s="60">
        <f t="shared" si="44"/>
        <v>0</v>
      </c>
      <c r="BH49" s="63"/>
      <c r="BI49" s="63"/>
      <c r="BJ49" s="60">
        <f t="shared" si="45"/>
        <v>0</v>
      </c>
      <c r="BK49" s="63"/>
      <c r="BL49" s="63"/>
      <c r="BM49" s="60">
        <f t="shared" si="46"/>
        <v>0</v>
      </c>
      <c r="BN49" s="63"/>
      <c r="BO49" s="63"/>
      <c r="BP49" s="60">
        <f t="shared" si="47"/>
        <v>0</v>
      </c>
      <c r="BQ49" s="63"/>
      <c r="BR49" s="63"/>
      <c r="BS49" s="60">
        <f t="shared" si="48"/>
        <v>0</v>
      </c>
      <c r="BT49" s="63"/>
      <c r="BU49" s="63"/>
      <c r="BV49" s="60">
        <f t="shared" si="49"/>
        <v>0</v>
      </c>
      <c r="BW49" s="43">
        <f t="shared" si="23"/>
        <v>0</v>
      </c>
      <c r="BX49" s="43">
        <f t="shared" si="23"/>
        <v>0</v>
      </c>
      <c r="BY49" s="43">
        <f t="shared" si="24"/>
        <v>0</v>
      </c>
      <c r="BZ49" s="43">
        <f t="shared" si="25"/>
        <v>0</v>
      </c>
      <c r="CA49" s="43">
        <f t="shared" si="25"/>
        <v>0</v>
      </c>
      <c r="CB49" s="43">
        <f t="shared" si="26"/>
        <v>0</v>
      </c>
    </row>
    <row r="50" spans="1:80" s="15" customFormat="1" outlineLevel="1" x14ac:dyDescent="0.2">
      <c r="A50" s="33">
        <v>131</v>
      </c>
      <c r="B50" s="49" t="s">
        <v>69</v>
      </c>
      <c r="C50" s="51"/>
      <c r="D50" s="51"/>
      <c r="E50" s="52">
        <f t="shared" si="22"/>
        <v>0</v>
      </c>
      <c r="F50" s="51"/>
      <c r="G50" s="51"/>
      <c r="H50" s="52">
        <f t="shared" si="28"/>
        <v>0</v>
      </c>
      <c r="I50" s="62"/>
      <c r="J50" s="51"/>
      <c r="K50" s="52">
        <f t="shared" si="29"/>
        <v>0</v>
      </c>
      <c r="L50" s="51"/>
      <c r="M50" s="51"/>
      <c r="N50" s="52">
        <f t="shared" si="50"/>
        <v>0</v>
      </c>
      <c r="O50" s="51"/>
      <c r="P50" s="51">
        <v>130</v>
      </c>
      <c r="Q50" s="52">
        <f t="shared" si="30"/>
        <v>130</v>
      </c>
      <c r="R50" s="51"/>
      <c r="S50" s="51"/>
      <c r="T50" s="52">
        <f t="shared" si="31"/>
        <v>0</v>
      </c>
      <c r="U50" s="51"/>
      <c r="V50" s="51">
        <v>200</v>
      </c>
      <c r="W50" s="52">
        <f t="shared" si="32"/>
        <v>200</v>
      </c>
      <c r="X50" s="51"/>
      <c r="Y50" s="51"/>
      <c r="Z50" s="52">
        <f t="shared" si="33"/>
        <v>0</v>
      </c>
      <c r="AA50" s="51">
        <v>3000</v>
      </c>
      <c r="AB50" s="51">
        <v>978</v>
      </c>
      <c r="AC50" s="52">
        <f t="shared" si="34"/>
        <v>3978</v>
      </c>
      <c r="AD50" s="51"/>
      <c r="AE50" s="51"/>
      <c r="AF50" s="52">
        <f t="shared" si="35"/>
        <v>0</v>
      </c>
      <c r="AG50" s="51"/>
      <c r="AH50" s="51">
        <v>950</v>
      </c>
      <c r="AI50" s="52">
        <f t="shared" si="36"/>
        <v>950</v>
      </c>
      <c r="AJ50" s="51"/>
      <c r="AK50" s="51"/>
      <c r="AL50" s="52">
        <f t="shared" si="37"/>
        <v>0</v>
      </c>
      <c r="AM50" s="51"/>
      <c r="AN50" s="51"/>
      <c r="AO50" s="52">
        <f t="shared" si="38"/>
        <v>0</v>
      </c>
      <c r="AP50" s="51"/>
      <c r="AQ50" s="51"/>
      <c r="AR50" s="52">
        <f t="shared" si="39"/>
        <v>0</v>
      </c>
      <c r="AS50" s="51"/>
      <c r="AT50" s="51"/>
      <c r="AU50" s="52">
        <f t="shared" si="40"/>
        <v>0</v>
      </c>
      <c r="AV50" s="51">
        <v>6700</v>
      </c>
      <c r="AW50" s="51"/>
      <c r="AX50" s="52">
        <f t="shared" si="41"/>
        <v>6700</v>
      </c>
      <c r="AY50" s="51"/>
      <c r="AZ50" s="51"/>
      <c r="BA50" s="52">
        <f t="shared" si="42"/>
        <v>0</v>
      </c>
      <c r="BB50" s="51"/>
      <c r="BC50" s="51"/>
      <c r="BD50" s="52">
        <f t="shared" si="43"/>
        <v>0</v>
      </c>
      <c r="BE50" s="51"/>
      <c r="BF50" s="51"/>
      <c r="BG50" s="52">
        <f t="shared" si="44"/>
        <v>0</v>
      </c>
      <c r="BH50" s="51"/>
      <c r="BI50" s="51"/>
      <c r="BJ50" s="52">
        <f t="shared" si="45"/>
        <v>0</v>
      </c>
      <c r="BK50" s="51"/>
      <c r="BL50" s="51"/>
      <c r="BM50" s="52">
        <f t="shared" si="46"/>
        <v>0</v>
      </c>
      <c r="BN50" s="51"/>
      <c r="BO50" s="51"/>
      <c r="BP50" s="52">
        <f t="shared" si="47"/>
        <v>0</v>
      </c>
      <c r="BQ50" s="51"/>
      <c r="BR50" s="51"/>
      <c r="BS50" s="52">
        <f t="shared" si="48"/>
        <v>0</v>
      </c>
      <c r="BT50" s="51"/>
      <c r="BU50" s="51"/>
      <c r="BV50" s="52">
        <f t="shared" si="49"/>
        <v>0</v>
      </c>
      <c r="BW50" s="36">
        <f t="shared" si="23"/>
        <v>3000</v>
      </c>
      <c r="BX50" s="36">
        <f t="shared" si="23"/>
        <v>2258</v>
      </c>
      <c r="BY50" s="36">
        <f t="shared" si="24"/>
        <v>5258</v>
      </c>
      <c r="BZ50" s="36">
        <f t="shared" si="25"/>
        <v>6700</v>
      </c>
      <c r="CA50" s="36">
        <f t="shared" si="25"/>
        <v>0</v>
      </c>
      <c r="CB50" s="36">
        <f t="shared" si="26"/>
        <v>6700</v>
      </c>
    </row>
    <row r="51" spans="1:80" s="44" customFormat="1" ht="12" outlineLevel="1" x14ac:dyDescent="0.2">
      <c r="A51" s="38"/>
      <c r="B51" s="39" t="s">
        <v>70</v>
      </c>
      <c r="C51" s="63"/>
      <c r="D51" s="63"/>
      <c r="E51" s="60">
        <f t="shared" si="22"/>
        <v>0</v>
      </c>
      <c r="F51" s="63"/>
      <c r="G51" s="63"/>
      <c r="H51" s="60">
        <f t="shared" si="28"/>
        <v>0</v>
      </c>
      <c r="I51" s="84"/>
      <c r="J51" s="63"/>
      <c r="K51" s="60">
        <f t="shared" si="29"/>
        <v>0</v>
      </c>
      <c r="L51" s="63"/>
      <c r="M51" s="63"/>
      <c r="N51" s="60">
        <f t="shared" si="50"/>
        <v>0</v>
      </c>
      <c r="O51" s="63"/>
      <c r="P51" s="63"/>
      <c r="Q51" s="60">
        <f t="shared" si="30"/>
        <v>0</v>
      </c>
      <c r="R51" s="63"/>
      <c r="S51" s="63"/>
      <c r="T51" s="60">
        <f t="shared" si="31"/>
        <v>0</v>
      </c>
      <c r="U51" s="63"/>
      <c r="V51" s="63"/>
      <c r="W51" s="60">
        <f t="shared" si="32"/>
        <v>0</v>
      </c>
      <c r="X51" s="63"/>
      <c r="Y51" s="63"/>
      <c r="Z51" s="60">
        <f t="shared" si="33"/>
        <v>0</v>
      </c>
      <c r="AA51" s="63"/>
      <c r="AB51" s="63"/>
      <c r="AC51" s="60">
        <f t="shared" si="34"/>
        <v>0</v>
      </c>
      <c r="AD51" s="63"/>
      <c r="AE51" s="63"/>
      <c r="AF51" s="60">
        <f t="shared" si="35"/>
        <v>0</v>
      </c>
      <c r="AG51" s="63"/>
      <c r="AH51" s="63"/>
      <c r="AI51" s="60">
        <f t="shared" si="36"/>
        <v>0</v>
      </c>
      <c r="AJ51" s="63"/>
      <c r="AK51" s="63"/>
      <c r="AL51" s="60">
        <f t="shared" si="37"/>
        <v>0</v>
      </c>
      <c r="AM51" s="63"/>
      <c r="AN51" s="63"/>
      <c r="AO51" s="60">
        <f t="shared" si="38"/>
        <v>0</v>
      </c>
      <c r="AP51" s="63"/>
      <c r="AQ51" s="63"/>
      <c r="AR51" s="60">
        <f t="shared" si="39"/>
        <v>0</v>
      </c>
      <c r="AS51" s="63"/>
      <c r="AT51" s="63"/>
      <c r="AU51" s="60">
        <f t="shared" si="40"/>
        <v>0</v>
      </c>
      <c r="AV51" s="63"/>
      <c r="AW51" s="63"/>
      <c r="AX51" s="60">
        <f t="shared" si="41"/>
        <v>0</v>
      </c>
      <c r="AY51" s="63"/>
      <c r="AZ51" s="63"/>
      <c r="BA51" s="60">
        <f t="shared" si="42"/>
        <v>0</v>
      </c>
      <c r="BB51" s="63"/>
      <c r="BC51" s="63"/>
      <c r="BD51" s="60">
        <f t="shared" si="43"/>
        <v>0</v>
      </c>
      <c r="BE51" s="63"/>
      <c r="BF51" s="63"/>
      <c r="BG51" s="60">
        <f t="shared" si="44"/>
        <v>0</v>
      </c>
      <c r="BH51" s="63"/>
      <c r="BI51" s="63"/>
      <c r="BJ51" s="60">
        <f t="shared" si="45"/>
        <v>0</v>
      </c>
      <c r="BK51" s="63"/>
      <c r="BL51" s="63"/>
      <c r="BM51" s="60">
        <f t="shared" si="46"/>
        <v>0</v>
      </c>
      <c r="BN51" s="63"/>
      <c r="BO51" s="63"/>
      <c r="BP51" s="60">
        <f t="shared" si="47"/>
        <v>0</v>
      </c>
      <c r="BQ51" s="63"/>
      <c r="BR51" s="63"/>
      <c r="BS51" s="60">
        <f t="shared" si="48"/>
        <v>0</v>
      </c>
      <c r="BT51" s="63"/>
      <c r="BU51" s="63"/>
      <c r="BV51" s="60">
        <f t="shared" si="49"/>
        <v>0</v>
      </c>
      <c r="BW51" s="43">
        <f t="shared" si="23"/>
        <v>0</v>
      </c>
      <c r="BX51" s="43">
        <f t="shared" si="23"/>
        <v>0</v>
      </c>
      <c r="BY51" s="43">
        <f t="shared" si="24"/>
        <v>0</v>
      </c>
      <c r="BZ51" s="43">
        <f t="shared" si="25"/>
        <v>0</v>
      </c>
      <c r="CA51" s="43">
        <f t="shared" si="25"/>
        <v>0</v>
      </c>
      <c r="CB51" s="43">
        <f t="shared" si="26"/>
        <v>0</v>
      </c>
    </row>
    <row r="52" spans="1:80" s="15" customFormat="1" ht="25.5" outlineLevel="1" x14ac:dyDescent="0.2">
      <c r="A52" s="33">
        <v>132</v>
      </c>
      <c r="B52" s="49" t="s">
        <v>71</v>
      </c>
      <c r="C52" s="51"/>
      <c r="D52" s="51"/>
      <c r="E52" s="52">
        <f t="shared" si="22"/>
        <v>0</v>
      </c>
      <c r="F52" s="51"/>
      <c r="G52" s="51"/>
      <c r="H52" s="52">
        <f t="shared" si="28"/>
        <v>0</v>
      </c>
      <c r="I52" s="62"/>
      <c r="J52" s="51"/>
      <c r="K52" s="52">
        <f t="shared" si="29"/>
        <v>0</v>
      </c>
      <c r="L52" s="51"/>
      <c r="M52" s="51"/>
      <c r="N52" s="52">
        <f t="shared" si="50"/>
        <v>0</v>
      </c>
      <c r="O52" s="51"/>
      <c r="P52" s="51"/>
      <c r="Q52" s="52">
        <f t="shared" si="30"/>
        <v>0</v>
      </c>
      <c r="R52" s="51"/>
      <c r="S52" s="51"/>
      <c r="T52" s="52">
        <f t="shared" si="31"/>
        <v>0</v>
      </c>
      <c r="U52" s="51"/>
      <c r="V52" s="51">
        <f>1700+1000</f>
        <v>2700</v>
      </c>
      <c r="W52" s="52">
        <f t="shared" si="32"/>
        <v>2700</v>
      </c>
      <c r="X52" s="51"/>
      <c r="Y52" s="51"/>
      <c r="Z52" s="52">
        <f t="shared" si="33"/>
        <v>0</v>
      </c>
      <c r="AA52" s="51"/>
      <c r="AB52" s="51">
        <f>6000</f>
        <v>6000</v>
      </c>
      <c r="AC52" s="52">
        <f t="shared" si="34"/>
        <v>6000</v>
      </c>
      <c r="AD52" s="51"/>
      <c r="AE52" s="51"/>
      <c r="AF52" s="52">
        <f t="shared" si="35"/>
        <v>0</v>
      </c>
      <c r="AG52" s="51"/>
      <c r="AH52" s="51">
        <f>500+5900+500+2500</f>
        <v>9400</v>
      </c>
      <c r="AI52" s="52">
        <f t="shared" si="36"/>
        <v>9400</v>
      </c>
      <c r="AJ52" s="51"/>
      <c r="AK52" s="51"/>
      <c r="AL52" s="52">
        <f t="shared" si="37"/>
        <v>0</v>
      </c>
      <c r="AM52" s="51"/>
      <c r="AN52" s="51">
        <f>8039+2000</f>
        <v>10039</v>
      </c>
      <c r="AO52" s="52">
        <f t="shared" si="38"/>
        <v>10039</v>
      </c>
      <c r="AP52" s="51"/>
      <c r="AQ52" s="51"/>
      <c r="AR52" s="52">
        <f t="shared" si="39"/>
        <v>0</v>
      </c>
      <c r="AS52" s="51"/>
      <c r="AT52" s="51">
        <v>23959</v>
      </c>
      <c r="AU52" s="52">
        <f t="shared" si="40"/>
        <v>23959</v>
      </c>
      <c r="AV52" s="51"/>
      <c r="AW52" s="51"/>
      <c r="AX52" s="52">
        <f t="shared" si="41"/>
        <v>0</v>
      </c>
      <c r="AY52" s="51"/>
      <c r="AZ52" s="51"/>
      <c r="BA52" s="52">
        <f t="shared" si="42"/>
        <v>0</v>
      </c>
      <c r="BB52" s="51"/>
      <c r="BC52" s="51"/>
      <c r="BD52" s="52">
        <f t="shared" si="43"/>
        <v>0</v>
      </c>
      <c r="BE52" s="51"/>
      <c r="BF52" s="51"/>
      <c r="BG52" s="52">
        <f t="shared" si="44"/>
        <v>0</v>
      </c>
      <c r="BH52" s="51"/>
      <c r="BI52" s="51"/>
      <c r="BJ52" s="52">
        <f t="shared" si="45"/>
        <v>0</v>
      </c>
      <c r="BK52" s="51"/>
      <c r="BL52" s="51"/>
      <c r="BM52" s="52">
        <f t="shared" si="46"/>
        <v>0</v>
      </c>
      <c r="BN52" s="51"/>
      <c r="BO52" s="51"/>
      <c r="BP52" s="52">
        <f t="shared" si="47"/>
        <v>0</v>
      </c>
      <c r="BQ52" s="51"/>
      <c r="BR52" s="51"/>
      <c r="BS52" s="52">
        <f t="shared" si="48"/>
        <v>0</v>
      </c>
      <c r="BT52" s="51"/>
      <c r="BU52" s="51"/>
      <c r="BV52" s="52">
        <f t="shared" si="49"/>
        <v>0</v>
      </c>
      <c r="BW52" s="36">
        <f t="shared" si="23"/>
        <v>0</v>
      </c>
      <c r="BX52" s="36">
        <f t="shared" si="23"/>
        <v>52098</v>
      </c>
      <c r="BY52" s="36">
        <f t="shared" si="24"/>
        <v>52098</v>
      </c>
      <c r="BZ52" s="36">
        <f t="shared" si="25"/>
        <v>0</v>
      </c>
      <c r="CA52" s="36">
        <f t="shared" si="25"/>
        <v>0</v>
      </c>
      <c r="CB52" s="36">
        <f t="shared" si="26"/>
        <v>0</v>
      </c>
    </row>
    <row r="53" spans="1:80" s="15" customFormat="1" outlineLevel="1" x14ac:dyDescent="0.2">
      <c r="A53" s="33">
        <v>133</v>
      </c>
      <c r="B53" s="49" t="s">
        <v>72</v>
      </c>
      <c r="C53" s="51"/>
      <c r="D53" s="51"/>
      <c r="E53" s="52">
        <f t="shared" si="22"/>
        <v>0</v>
      </c>
      <c r="F53" s="51"/>
      <c r="G53" s="51"/>
      <c r="H53" s="52">
        <f t="shared" si="28"/>
        <v>0</v>
      </c>
      <c r="I53" s="62"/>
      <c r="J53" s="51"/>
      <c r="K53" s="52">
        <f t="shared" si="29"/>
        <v>0</v>
      </c>
      <c r="L53" s="51"/>
      <c r="M53" s="51"/>
      <c r="N53" s="52">
        <f t="shared" si="50"/>
        <v>0</v>
      </c>
      <c r="O53" s="51"/>
      <c r="P53" s="51"/>
      <c r="Q53" s="52">
        <f t="shared" si="30"/>
        <v>0</v>
      </c>
      <c r="R53" s="51"/>
      <c r="S53" s="51"/>
      <c r="T53" s="52">
        <f t="shared" si="31"/>
        <v>0</v>
      </c>
      <c r="U53" s="51"/>
      <c r="V53" s="51"/>
      <c r="W53" s="52">
        <f t="shared" si="32"/>
        <v>0</v>
      </c>
      <c r="X53" s="51"/>
      <c r="Y53" s="51"/>
      <c r="Z53" s="52">
        <f t="shared" si="33"/>
        <v>0</v>
      </c>
      <c r="AA53" s="51"/>
      <c r="AB53" s="51"/>
      <c r="AC53" s="52">
        <f t="shared" si="34"/>
        <v>0</v>
      </c>
      <c r="AD53" s="51"/>
      <c r="AE53" s="51"/>
      <c r="AF53" s="52">
        <f t="shared" si="35"/>
        <v>0</v>
      </c>
      <c r="AG53" s="51"/>
      <c r="AH53" s="51">
        <v>3900</v>
      </c>
      <c r="AI53" s="52">
        <f t="shared" si="36"/>
        <v>3900</v>
      </c>
      <c r="AJ53" s="51"/>
      <c r="AK53" s="51"/>
      <c r="AL53" s="52">
        <f t="shared" si="37"/>
        <v>0</v>
      </c>
      <c r="AM53" s="51"/>
      <c r="AN53" s="51">
        <v>7727</v>
      </c>
      <c r="AO53" s="52">
        <f t="shared" si="38"/>
        <v>7727</v>
      </c>
      <c r="AP53" s="51"/>
      <c r="AQ53" s="51"/>
      <c r="AR53" s="52">
        <f t="shared" si="39"/>
        <v>0</v>
      </c>
      <c r="AS53" s="51"/>
      <c r="AT53" s="51">
        <v>10200</v>
      </c>
      <c r="AU53" s="52">
        <f t="shared" si="40"/>
        <v>10200</v>
      </c>
      <c r="AV53" s="51"/>
      <c r="AW53" s="51"/>
      <c r="AX53" s="52">
        <f t="shared" si="41"/>
        <v>0</v>
      </c>
      <c r="AY53" s="51"/>
      <c r="AZ53" s="51"/>
      <c r="BA53" s="52">
        <f t="shared" si="42"/>
        <v>0</v>
      </c>
      <c r="BB53" s="51"/>
      <c r="BC53" s="51"/>
      <c r="BD53" s="52">
        <f t="shared" si="43"/>
        <v>0</v>
      </c>
      <c r="BE53" s="51"/>
      <c r="BF53" s="51"/>
      <c r="BG53" s="52">
        <f t="shared" si="44"/>
        <v>0</v>
      </c>
      <c r="BH53" s="51"/>
      <c r="BI53" s="51"/>
      <c r="BJ53" s="52">
        <f t="shared" si="45"/>
        <v>0</v>
      </c>
      <c r="BK53" s="51"/>
      <c r="BL53" s="51"/>
      <c r="BM53" s="52">
        <f t="shared" si="46"/>
        <v>0</v>
      </c>
      <c r="BN53" s="62"/>
      <c r="BO53" s="51"/>
      <c r="BP53" s="52">
        <f t="shared" si="47"/>
        <v>0</v>
      </c>
      <c r="BQ53" s="51"/>
      <c r="BR53" s="51"/>
      <c r="BS53" s="52">
        <f t="shared" si="48"/>
        <v>0</v>
      </c>
      <c r="BT53" s="51"/>
      <c r="BU53" s="51"/>
      <c r="BV53" s="52">
        <f t="shared" si="49"/>
        <v>0</v>
      </c>
      <c r="BW53" s="36">
        <f t="shared" si="23"/>
        <v>0</v>
      </c>
      <c r="BX53" s="36">
        <f t="shared" si="23"/>
        <v>21827</v>
      </c>
      <c r="BY53" s="36">
        <f t="shared" si="24"/>
        <v>21827</v>
      </c>
      <c r="BZ53" s="36">
        <f t="shared" si="25"/>
        <v>0</v>
      </c>
      <c r="CA53" s="36">
        <f t="shared" si="25"/>
        <v>0</v>
      </c>
      <c r="CB53" s="36">
        <f t="shared" si="26"/>
        <v>0</v>
      </c>
    </row>
    <row r="54" spans="1:80" s="15" customFormat="1" outlineLevel="1" x14ac:dyDescent="0.2">
      <c r="A54" s="33">
        <v>134</v>
      </c>
      <c r="B54" s="49" t="s">
        <v>73</v>
      </c>
      <c r="C54" s="51"/>
      <c r="D54" s="51"/>
      <c r="E54" s="52">
        <f t="shared" si="22"/>
        <v>0</v>
      </c>
      <c r="F54" s="62"/>
      <c r="G54" s="51"/>
      <c r="H54" s="52">
        <f t="shared" si="28"/>
        <v>0</v>
      </c>
      <c r="I54" s="62"/>
      <c r="J54" s="51"/>
      <c r="K54" s="52">
        <f t="shared" si="29"/>
        <v>0</v>
      </c>
      <c r="L54" s="62"/>
      <c r="M54" s="51"/>
      <c r="N54" s="52">
        <f t="shared" si="50"/>
        <v>0</v>
      </c>
      <c r="O54" s="51">
        <v>494.45</v>
      </c>
      <c r="P54" s="51"/>
      <c r="Q54" s="52">
        <f t="shared" si="30"/>
        <v>494.45</v>
      </c>
      <c r="R54" s="62">
        <v>1750.63</v>
      </c>
      <c r="S54" s="51"/>
      <c r="T54" s="52">
        <f t="shared" si="31"/>
        <v>1750.63</v>
      </c>
      <c r="U54" s="51">
        <v>489.99</v>
      </c>
      <c r="V54" s="51"/>
      <c r="W54" s="52">
        <f t="shared" si="32"/>
        <v>489.99</v>
      </c>
      <c r="X54" s="62">
        <v>750</v>
      </c>
      <c r="Y54" s="51"/>
      <c r="Z54" s="52">
        <f t="shared" si="33"/>
        <v>750</v>
      </c>
      <c r="AA54" s="51">
        <v>5892.02</v>
      </c>
      <c r="AB54" s="51"/>
      <c r="AC54" s="52">
        <f t="shared" si="34"/>
        <v>5892.02</v>
      </c>
      <c r="AD54" s="62">
        <v>750</v>
      </c>
      <c r="AE54" s="51"/>
      <c r="AF54" s="52">
        <f t="shared" si="35"/>
        <v>750</v>
      </c>
      <c r="AG54" s="51">
        <v>959</v>
      </c>
      <c r="AH54" s="51">
        <v>1003</v>
      </c>
      <c r="AI54" s="52">
        <f t="shared" si="36"/>
        <v>1962</v>
      </c>
      <c r="AJ54" s="62">
        <v>2602.35</v>
      </c>
      <c r="AK54" s="51"/>
      <c r="AL54" s="52">
        <f t="shared" si="37"/>
        <v>2602.35</v>
      </c>
      <c r="AM54" s="51">
        <v>492</v>
      </c>
      <c r="AN54" s="51"/>
      <c r="AO54" s="52">
        <f t="shared" si="38"/>
        <v>492</v>
      </c>
      <c r="AP54" s="62">
        <v>800</v>
      </c>
      <c r="AQ54" s="51"/>
      <c r="AR54" s="52">
        <f t="shared" si="39"/>
        <v>800</v>
      </c>
      <c r="AS54" s="51">
        <f>293.32+494</f>
        <v>787.31999999999994</v>
      </c>
      <c r="AT54" s="51"/>
      <c r="AU54" s="52">
        <f t="shared" si="40"/>
        <v>787.31999999999994</v>
      </c>
      <c r="AV54" s="62">
        <v>968.5</v>
      </c>
      <c r="AW54" s="51"/>
      <c r="AX54" s="52">
        <f t="shared" si="41"/>
        <v>968.5</v>
      </c>
      <c r="AY54" s="51"/>
      <c r="AZ54" s="51"/>
      <c r="BA54" s="52">
        <f t="shared" si="42"/>
        <v>0</v>
      </c>
      <c r="BB54" s="51"/>
      <c r="BC54" s="51"/>
      <c r="BD54" s="52">
        <f t="shared" si="43"/>
        <v>0</v>
      </c>
      <c r="BE54" s="51"/>
      <c r="BF54" s="51"/>
      <c r="BG54" s="52">
        <f t="shared" si="44"/>
        <v>0</v>
      </c>
      <c r="BH54" s="62"/>
      <c r="BI54" s="51"/>
      <c r="BJ54" s="52">
        <f t="shared" si="45"/>
        <v>0</v>
      </c>
      <c r="BK54" s="51"/>
      <c r="BL54" s="51"/>
      <c r="BM54" s="52">
        <f t="shared" si="46"/>
        <v>0</v>
      </c>
      <c r="BN54" s="62"/>
      <c r="BO54" s="51"/>
      <c r="BP54" s="52">
        <f t="shared" si="47"/>
        <v>0</v>
      </c>
      <c r="BQ54" s="51"/>
      <c r="BR54" s="51"/>
      <c r="BS54" s="52">
        <f t="shared" si="48"/>
        <v>0</v>
      </c>
      <c r="BT54" s="62"/>
      <c r="BU54" s="51"/>
      <c r="BV54" s="52">
        <f t="shared" si="49"/>
        <v>0</v>
      </c>
      <c r="BW54" s="36">
        <f t="shared" si="23"/>
        <v>9114.7800000000007</v>
      </c>
      <c r="BX54" s="36">
        <f t="shared" si="23"/>
        <v>1003</v>
      </c>
      <c r="BY54" s="36">
        <f t="shared" si="24"/>
        <v>10117.780000000001</v>
      </c>
      <c r="BZ54" s="36">
        <f t="shared" si="25"/>
        <v>7621.48</v>
      </c>
      <c r="CA54" s="36">
        <f t="shared" si="25"/>
        <v>0</v>
      </c>
      <c r="CB54" s="36">
        <f t="shared" si="26"/>
        <v>7621.48</v>
      </c>
    </row>
    <row r="55" spans="1:80" s="15" customFormat="1" ht="25.5" outlineLevel="1" x14ac:dyDescent="0.2">
      <c r="A55" s="33">
        <v>135</v>
      </c>
      <c r="B55" s="49" t="s">
        <v>74</v>
      </c>
      <c r="C55" s="51"/>
      <c r="D55" s="51"/>
      <c r="E55" s="52">
        <f t="shared" si="22"/>
        <v>0</v>
      </c>
      <c r="F55" s="51"/>
      <c r="G55" s="51"/>
      <c r="H55" s="52">
        <f t="shared" si="28"/>
        <v>0</v>
      </c>
      <c r="I55" s="51"/>
      <c r="J55" s="62"/>
      <c r="K55" s="52">
        <f t="shared" si="29"/>
        <v>0</v>
      </c>
      <c r="L55" s="51"/>
      <c r="M55" s="51"/>
      <c r="N55" s="52">
        <f t="shared" si="50"/>
        <v>0</v>
      </c>
      <c r="O55" s="51"/>
      <c r="P55" s="51"/>
      <c r="Q55" s="52">
        <f t="shared" si="30"/>
        <v>0</v>
      </c>
      <c r="R55" s="51"/>
      <c r="S55" s="51"/>
      <c r="T55" s="52">
        <f t="shared" si="31"/>
        <v>0</v>
      </c>
      <c r="U55" s="51"/>
      <c r="V55" s="51"/>
      <c r="W55" s="52">
        <f t="shared" si="32"/>
        <v>0</v>
      </c>
      <c r="X55" s="51"/>
      <c r="Y55" s="51"/>
      <c r="Z55" s="52">
        <f t="shared" si="33"/>
        <v>0</v>
      </c>
      <c r="AA55" s="51"/>
      <c r="AB55" s="51"/>
      <c r="AC55" s="52">
        <f t="shared" si="34"/>
        <v>0</v>
      </c>
      <c r="AD55" s="51"/>
      <c r="AE55" s="51"/>
      <c r="AF55" s="52">
        <f t="shared" si="35"/>
        <v>0</v>
      </c>
      <c r="AG55" s="51"/>
      <c r="AH55" s="51">
        <v>347</v>
      </c>
      <c r="AI55" s="52">
        <f t="shared" si="36"/>
        <v>347</v>
      </c>
      <c r="AJ55" s="51"/>
      <c r="AK55" s="51"/>
      <c r="AL55" s="52">
        <f t="shared" si="37"/>
        <v>0</v>
      </c>
      <c r="AM55" s="51"/>
      <c r="AN55" s="51"/>
      <c r="AO55" s="52">
        <f t="shared" si="38"/>
        <v>0</v>
      </c>
      <c r="AP55" s="51"/>
      <c r="AQ55" s="51"/>
      <c r="AR55" s="52">
        <f t="shared" si="39"/>
        <v>0</v>
      </c>
      <c r="AS55" s="51"/>
      <c r="AT55" s="51"/>
      <c r="AU55" s="52">
        <f t="shared" si="40"/>
        <v>0</v>
      </c>
      <c r="AV55" s="51"/>
      <c r="AW55" s="51"/>
      <c r="AX55" s="52">
        <f t="shared" si="41"/>
        <v>0</v>
      </c>
      <c r="AY55" s="51"/>
      <c r="AZ55" s="51"/>
      <c r="BA55" s="52">
        <f t="shared" si="42"/>
        <v>0</v>
      </c>
      <c r="BB55" s="51"/>
      <c r="BC55" s="51"/>
      <c r="BD55" s="52">
        <f t="shared" si="43"/>
        <v>0</v>
      </c>
      <c r="BE55" s="51"/>
      <c r="BF55" s="51"/>
      <c r="BG55" s="52">
        <f t="shared" si="44"/>
        <v>0</v>
      </c>
      <c r="BH55" s="51"/>
      <c r="BI55" s="51"/>
      <c r="BJ55" s="52">
        <f t="shared" si="45"/>
        <v>0</v>
      </c>
      <c r="BK55" s="51"/>
      <c r="BL55" s="51"/>
      <c r="BM55" s="52">
        <f t="shared" si="46"/>
        <v>0</v>
      </c>
      <c r="BN55" s="51"/>
      <c r="BO55" s="51"/>
      <c r="BP55" s="52">
        <f t="shared" si="47"/>
        <v>0</v>
      </c>
      <c r="BQ55" s="51"/>
      <c r="BR55" s="51"/>
      <c r="BS55" s="52">
        <f t="shared" si="48"/>
        <v>0</v>
      </c>
      <c r="BT55" s="51"/>
      <c r="BU55" s="51"/>
      <c r="BV55" s="52">
        <f t="shared" si="49"/>
        <v>0</v>
      </c>
      <c r="BW55" s="36">
        <f t="shared" si="23"/>
        <v>0</v>
      </c>
      <c r="BX55" s="36">
        <f t="shared" si="23"/>
        <v>347</v>
      </c>
      <c r="BY55" s="36">
        <f t="shared" si="24"/>
        <v>347</v>
      </c>
      <c r="BZ55" s="36">
        <f t="shared" si="25"/>
        <v>0</v>
      </c>
      <c r="CA55" s="36">
        <f t="shared" si="25"/>
        <v>0</v>
      </c>
      <c r="CB55" s="36">
        <f t="shared" si="26"/>
        <v>0</v>
      </c>
    </row>
    <row r="56" spans="1:80" s="15" customFormat="1" outlineLevel="1" x14ac:dyDescent="0.2">
      <c r="A56" s="33">
        <v>136</v>
      </c>
      <c r="B56" s="49" t="s">
        <v>75</v>
      </c>
      <c r="C56" s="51"/>
      <c r="D56" s="51"/>
      <c r="E56" s="52">
        <f t="shared" si="22"/>
        <v>0</v>
      </c>
      <c r="F56" s="51"/>
      <c r="G56" s="51"/>
      <c r="H56" s="52">
        <f t="shared" si="28"/>
        <v>0</v>
      </c>
      <c r="I56" s="51"/>
      <c r="J56" s="51"/>
      <c r="K56" s="52">
        <f t="shared" si="29"/>
        <v>0</v>
      </c>
      <c r="L56" s="51"/>
      <c r="M56" s="51"/>
      <c r="N56" s="52">
        <f t="shared" si="50"/>
        <v>0</v>
      </c>
      <c r="O56" s="51">
        <v>3922</v>
      </c>
      <c r="P56" s="51"/>
      <c r="Q56" s="52">
        <f t="shared" si="30"/>
        <v>3922</v>
      </c>
      <c r="R56" s="51">
        <v>2400</v>
      </c>
      <c r="S56" s="51"/>
      <c r="T56" s="52">
        <f t="shared" si="31"/>
        <v>2400</v>
      </c>
      <c r="U56" s="51"/>
      <c r="V56" s="51"/>
      <c r="W56" s="52">
        <f t="shared" si="32"/>
        <v>0</v>
      </c>
      <c r="X56" s="51">
        <v>2400</v>
      </c>
      <c r="Y56" s="51"/>
      <c r="Z56" s="52">
        <f t="shared" si="33"/>
        <v>2400</v>
      </c>
      <c r="AA56" s="51"/>
      <c r="AB56" s="51"/>
      <c r="AC56" s="52">
        <f t="shared" si="34"/>
        <v>0</v>
      </c>
      <c r="AD56" s="51">
        <v>2400</v>
      </c>
      <c r="AE56" s="51"/>
      <c r="AF56" s="52">
        <f t="shared" si="35"/>
        <v>2400</v>
      </c>
      <c r="AG56" s="51"/>
      <c r="AH56" s="51"/>
      <c r="AI56" s="52">
        <f t="shared" si="36"/>
        <v>0</v>
      </c>
      <c r="AJ56" s="51">
        <v>2400</v>
      </c>
      <c r="AK56" s="51"/>
      <c r="AL56" s="52">
        <f t="shared" si="37"/>
        <v>2400</v>
      </c>
      <c r="AM56" s="51">
        <v>143956</v>
      </c>
      <c r="AN56" s="51"/>
      <c r="AO56" s="52">
        <f t="shared" si="38"/>
        <v>143956</v>
      </c>
      <c r="AP56" s="51">
        <v>2400</v>
      </c>
      <c r="AQ56" s="51"/>
      <c r="AR56" s="52">
        <f t="shared" si="39"/>
        <v>2400</v>
      </c>
      <c r="AS56" s="51">
        <v>40900</v>
      </c>
      <c r="AT56" s="51"/>
      <c r="AU56" s="52">
        <f t="shared" si="40"/>
        <v>40900</v>
      </c>
      <c r="AV56" s="51">
        <v>2400</v>
      </c>
      <c r="AW56" s="51"/>
      <c r="AX56" s="52">
        <f t="shared" si="41"/>
        <v>2400</v>
      </c>
      <c r="AY56" s="51">
        <v>4800</v>
      </c>
      <c r="AZ56" s="51"/>
      <c r="BA56" s="52">
        <f t="shared" si="42"/>
        <v>4800</v>
      </c>
      <c r="BB56" s="51">
        <v>4800</v>
      </c>
      <c r="BC56" s="51"/>
      <c r="BD56" s="52">
        <f t="shared" si="43"/>
        <v>4800</v>
      </c>
      <c r="BE56" s="51"/>
      <c r="BF56" s="51"/>
      <c r="BG56" s="52">
        <f t="shared" si="44"/>
        <v>0</v>
      </c>
      <c r="BH56" s="51"/>
      <c r="BI56" s="51"/>
      <c r="BJ56" s="52">
        <f t="shared" si="45"/>
        <v>0</v>
      </c>
      <c r="BK56" s="51"/>
      <c r="BL56" s="51"/>
      <c r="BM56" s="52">
        <f t="shared" si="46"/>
        <v>0</v>
      </c>
      <c r="BN56" s="51"/>
      <c r="BO56" s="51"/>
      <c r="BP56" s="52">
        <f t="shared" si="47"/>
        <v>0</v>
      </c>
      <c r="BQ56" s="51"/>
      <c r="BR56" s="51"/>
      <c r="BS56" s="52">
        <f t="shared" si="48"/>
        <v>0</v>
      </c>
      <c r="BT56" s="51"/>
      <c r="BU56" s="51"/>
      <c r="BV56" s="52">
        <f t="shared" si="49"/>
        <v>0</v>
      </c>
      <c r="BW56" s="36">
        <f t="shared" si="23"/>
        <v>193578</v>
      </c>
      <c r="BX56" s="36">
        <f t="shared" si="23"/>
        <v>0</v>
      </c>
      <c r="BY56" s="36">
        <f t="shared" si="24"/>
        <v>193578</v>
      </c>
      <c r="BZ56" s="36">
        <f t="shared" si="25"/>
        <v>19200</v>
      </c>
      <c r="CA56" s="36">
        <f t="shared" si="25"/>
        <v>0</v>
      </c>
      <c r="CB56" s="36">
        <f t="shared" si="26"/>
        <v>19200</v>
      </c>
    </row>
    <row r="57" spans="1:80" s="15" customFormat="1" outlineLevel="1" x14ac:dyDescent="0.2">
      <c r="A57" s="33">
        <v>136</v>
      </c>
      <c r="B57" s="49" t="s">
        <v>76</v>
      </c>
      <c r="C57" s="51"/>
      <c r="D57" s="51"/>
      <c r="E57" s="52">
        <f t="shared" si="22"/>
        <v>0</v>
      </c>
      <c r="F57" s="51"/>
      <c r="G57" s="51"/>
      <c r="H57" s="52">
        <f t="shared" si="28"/>
        <v>0</v>
      </c>
      <c r="I57" s="51"/>
      <c r="J57" s="62"/>
      <c r="K57" s="52">
        <f t="shared" si="29"/>
        <v>0</v>
      </c>
      <c r="L57" s="51"/>
      <c r="M57" s="51"/>
      <c r="N57" s="52">
        <f t="shared" si="50"/>
        <v>0</v>
      </c>
      <c r="O57" s="51"/>
      <c r="P57" s="51">
        <v>120</v>
      </c>
      <c r="Q57" s="52">
        <f t="shared" si="30"/>
        <v>120</v>
      </c>
      <c r="R57" s="51"/>
      <c r="S57" s="51"/>
      <c r="T57" s="52">
        <f t="shared" si="31"/>
        <v>0</v>
      </c>
      <c r="U57" s="51"/>
      <c r="V57" s="51">
        <f>272</f>
        <v>272</v>
      </c>
      <c r="W57" s="52">
        <f t="shared" si="32"/>
        <v>272</v>
      </c>
      <c r="X57" s="51"/>
      <c r="Y57" s="51"/>
      <c r="Z57" s="52">
        <f t="shared" si="33"/>
        <v>0</v>
      </c>
      <c r="AA57" s="51"/>
      <c r="AB57" s="51"/>
      <c r="AC57" s="52">
        <f t="shared" si="34"/>
        <v>0</v>
      </c>
      <c r="AD57" s="51"/>
      <c r="AE57" s="51"/>
      <c r="AF57" s="52">
        <f t="shared" si="35"/>
        <v>0</v>
      </c>
      <c r="AG57" s="51">
        <v>5901</v>
      </c>
      <c r="AH57" s="51">
        <f>8900+3200</f>
        <v>12100</v>
      </c>
      <c r="AI57" s="52">
        <f t="shared" si="36"/>
        <v>18001</v>
      </c>
      <c r="AJ57" s="51"/>
      <c r="AK57" s="51"/>
      <c r="AL57" s="52">
        <f t="shared" si="37"/>
        <v>0</v>
      </c>
      <c r="AM57" s="51"/>
      <c r="AN57" s="51">
        <f>2550+2500+7188+202</f>
        <v>12440</v>
      </c>
      <c r="AO57" s="52">
        <f t="shared" si="38"/>
        <v>12440</v>
      </c>
      <c r="AP57" s="51"/>
      <c r="AQ57" s="51"/>
      <c r="AR57" s="52">
        <f t="shared" si="39"/>
        <v>0</v>
      </c>
      <c r="AS57" s="51"/>
      <c r="AT57" s="51">
        <v>4245</v>
      </c>
      <c r="AU57" s="52">
        <f t="shared" si="40"/>
        <v>4245</v>
      </c>
      <c r="AV57" s="51"/>
      <c r="AW57" s="51"/>
      <c r="AX57" s="52">
        <f t="shared" si="41"/>
        <v>0</v>
      </c>
      <c r="AY57" s="51"/>
      <c r="AZ57" s="51"/>
      <c r="BA57" s="52">
        <f t="shared" si="42"/>
        <v>0</v>
      </c>
      <c r="BB57" s="51"/>
      <c r="BC57" s="51"/>
      <c r="BD57" s="52">
        <f t="shared" si="43"/>
        <v>0</v>
      </c>
      <c r="BE57" s="51"/>
      <c r="BF57" s="51"/>
      <c r="BG57" s="52">
        <f t="shared" si="44"/>
        <v>0</v>
      </c>
      <c r="BH57" s="51"/>
      <c r="BI57" s="51"/>
      <c r="BJ57" s="52">
        <f t="shared" si="45"/>
        <v>0</v>
      </c>
      <c r="BK57" s="51"/>
      <c r="BL57" s="51"/>
      <c r="BM57" s="52">
        <f t="shared" si="46"/>
        <v>0</v>
      </c>
      <c r="BN57" s="51"/>
      <c r="BO57" s="51"/>
      <c r="BP57" s="52">
        <f t="shared" si="47"/>
        <v>0</v>
      </c>
      <c r="BQ57" s="51"/>
      <c r="BR57" s="51"/>
      <c r="BS57" s="52">
        <f t="shared" si="48"/>
        <v>0</v>
      </c>
      <c r="BT57" s="51"/>
      <c r="BU57" s="51"/>
      <c r="BV57" s="52">
        <f t="shared" si="49"/>
        <v>0</v>
      </c>
      <c r="BW57" s="36">
        <f t="shared" si="23"/>
        <v>5901</v>
      </c>
      <c r="BX57" s="36">
        <f t="shared" si="23"/>
        <v>29177</v>
      </c>
      <c r="BY57" s="36">
        <f t="shared" si="24"/>
        <v>35078</v>
      </c>
      <c r="BZ57" s="36">
        <f t="shared" si="25"/>
        <v>0</v>
      </c>
      <c r="CA57" s="36">
        <f t="shared" si="25"/>
        <v>0</v>
      </c>
      <c r="CB57" s="36">
        <f t="shared" si="26"/>
        <v>0</v>
      </c>
    </row>
    <row r="58" spans="1:80" s="5" customFormat="1" outlineLevel="1" x14ac:dyDescent="0.2">
      <c r="A58" s="33">
        <v>221</v>
      </c>
      <c r="B58" s="49" t="s">
        <v>77</v>
      </c>
      <c r="C58" s="65">
        <f>C59+C60</f>
        <v>0</v>
      </c>
      <c r="D58" s="65">
        <f>D59+D60</f>
        <v>0</v>
      </c>
      <c r="E58" s="52">
        <f t="shared" si="22"/>
        <v>0</v>
      </c>
      <c r="F58" s="65">
        <f>F59+F60</f>
        <v>0</v>
      </c>
      <c r="G58" s="65">
        <f>G59+G60</f>
        <v>0</v>
      </c>
      <c r="H58" s="52">
        <f t="shared" si="28"/>
        <v>0</v>
      </c>
      <c r="I58" s="65"/>
      <c r="J58" s="65"/>
      <c r="K58" s="52">
        <f t="shared" si="29"/>
        <v>0</v>
      </c>
      <c r="L58" s="65">
        <f>L59+L60</f>
        <v>0</v>
      </c>
      <c r="M58" s="65">
        <f>M59+M60</f>
        <v>0</v>
      </c>
      <c r="N58" s="52">
        <f t="shared" si="50"/>
        <v>0</v>
      </c>
      <c r="O58" s="65">
        <f>O59+O60</f>
        <v>0</v>
      </c>
      <c r="P58" s="65">
        <f>P59+P60</f>
        <v>0</v>
      </c>
      <c r="Q58" s="52">
        <f t="shared" si="30"/>
        <v>0</v>
      </c>
      <c r="R58" s="65">
        <f>R59+R60</f>
        <v>0</v>
      </c>
      <c r="S58" s="65">
        <f>S59+S60</f>
        <v>0</v>
      </c>
      <c r="T58" s="52">
        <f t="shared" si="31"/>
        <v>0</v>
      </c>
      <c r="U58" s="65">
        <f>U59+U60</f>
        <v>0</v>
      </c>
      <c r="V58" s="65">
        <f>V59+V60</f>
        <v>0</v>
      </c>
      <c r="W58" s="52">
        <f t="shared" si="32"/>
        <v>0</v>
      </c>
      <c r="X58" s="65">
        <f>X59+X60</f>
        <v>0</v>
      </c>
      <c r="Y58" s="65">
        <f>Y59+Y60</f>
        <v>0</v>
      </c>
      <c r="Z58" s="52">
        <f t="shared" si="33"/>
        <v>0</v>
      </c>
      <c r="AA58" s="65">
        <f>AA59+AA60</f>
        <v>0</v>
      </c>
      <c r="AB58" s="65">
        <f>AB59+AB60</f>
        <v>0</v>
      </c>
      <c r="AC58" s="52">
        <f t="shared" si="34"/>
        <v>0</v>
      </c>
      <c r="AD58" s="65">
        <f>AD59+AD60</f>
        <v>0</v>
      </c>
      <c r="AE58" s="65">
        <f>AE59+AE60</f>
        <v>0</v>
      </c>
      <c r="AF58" s="52">
        <f t="shared" si="35"/>
        <v>0</v>
      </c>
      <c r="AG58" s="65">
        <f>AG59+AG60</f>
        <v>0</v>
      </c>
      <c r="AH58" s="65">
        <f>AH59+AH60</f>
        <v>0</v>
      </c>
      <c r="AI58" s="52">
        <f t="shared" si="36"/>
        <v>0</v>
      </c>
      <c r="AJ58" s="65">
        <f>AJ59+AJ60</f>
        <v>0</v>
      </c>
      <c r="AK58" s="65">
        <f>AK59+AK60</f>
        <v>0</v>
      </c>
      <c r="AL58" s="52">
        <f t="shared" si="37"/>
        <v>0</v>
      </c>
      <c r="AM58" s="65">
        <f>AM59+AM60</f>
        <v>0</v>
      </c>
      <c r="AN58" s="65">
        <f>AN59+AN60</f>
        <v>0</v>
      </c>
      <c r="AO58" s="52">
        <f t="shared" si="38"/>
        <v>0</v>
      </c>
      <c r="AP58" s="65">
        <f>AP59+AP60</f>
        <v>0</v>
      </c>
      <c r="AQ58" s="65">
        <f>AQ59+AQ60</f>
        <v>0</v>
      </c>
      <c r="AR58" s="52">
        <f t="shared" si="39"/>
        <v>0</v>
      </c>
      <c r="AS58" s="65">
        <f>AS59+AS60</f>
        <v>0</v>
      </c>
      <c r="AT58" s="65">
        <f>AT59+AT60</f>
        <v>0</v>
      </c>
      <c r="AU58" s="52">
        <f t="shared" si="40"/>
        <v>0</v>
      </c>
      <c r="AV58" s="65">
        <f>AV59+AV60</f>
        <v>0</v>
      </c>
      <c r="AW58" s="65">
        <f>AW59+AW60</f>
        <v>0</v>
      </c>
      <c r="AX58" s="52">
        <f t="shared" si="41"/>
        <v>0</v>
      </c>
      <c r="AY58" s="65">
        <f>AY59+AY60</f>
        <v>0</v>
      </c>
      <c r="AZ58" s="65">
        <f>AZ59+AZ60</f>
        <v>0</v>
      </c>
      <c r="BA58" s="52">
        <f t="shared" si="42"/>
        <v>0</v>
      </c>
      <c r="BB58" s="65">
        <f>BB59+BB60</f>
        <v>0</v>
      </c>
      <c r="BC58" s="65">
        <f>BC59+BC60</f>
        <v>0</v>
      </c>
      <c r="BD58" s="52">
        <f t="shared" si="43"/>
        <v>0</v>
      </c>
      <c r="BE58" s="65">
        <f>BE59+BE60</f>
        <v>0</v>
      </c>
      <c r="BF58" s="65">
        <f>BF59+BF60</f>
        <v>0</v>
      </c>
      <c r="BG58" s="52">
        <f t="shared" si="44"/>
        <v>0</v>
      </c>
      <c r="BH58" s="65">
        <f>BH59+BH60</f>
        <v>0</v>
      </c>
      <c r="BI58" s="65">
        <f>BI59+BI60</f>
        <v>0</v>
      </c>
      <c r="BJ58" s="52">
        <f t="shared" si="45"/>
        <v>0</v>
      </c>
      <c r="BK58" s="65">
        <f>BK59+BK60</f>
        <v>0</v>
      </c>
      <c r="BL58" s="65">
        <f>BL59+BL60</f>
        <v>0</v>
      </c>
      <c r="BM58" s="52">
        <f t="shared" si="46"/>
        <v>0</v>
      </c>
      <c r="BN58" s="65">
        <f>BN59+BN60</f>
        <v>0</v>
      </c>
      <c r="BO58" s="65">
        <f>BO59+BO60</f>
        <v>0</v>
      </c>
      <c r="BP58" s="52">
        <f t="shared" si="47"/>
        <v>0</v>
      </c>
      <c r="BQ58" s="65">
        <f>BQ59+BQ60</f>
        <v>0</v>
      </c>
      <c r="BR58" s="65">
        <f>BR59+BR60</f>
        <v>0</v>
      </c>
      <c r="BS58" s="52">
        <f t="shared" si="48"/>
        <v>0</v>
      </c>
      <c r="BT58" s="65">
        <f>BT59+BT60</f>
        <v>0</v>
      </c>
      <c r="BU58" s="65">
        <f>BU59+BU60</f>
        <v>0</v>
      </c>
      <c r="BV58" s="52">
        <f t="shared" si="49"/>
        <v>0</v>
      </c>
      <c r="BW58" s="36">
        <f>C58+I58+O58+U58+AA58+AG58+AM58+AS58+AY58+BE58+BK58+BQ58</f>
        <v>0</v>
      </c>
      <c r="BX58" s="36">
        <f>D58+J58+P58+V58+AB58+AH58+AN58+AT58+AZ58+BF58+BL58+BR58</f>
        <v>0</v>
      </c>
      <c r="BY58" s="36">
        <f t="shared" si="24"/>
        <v>0</v>
      </c>
      <c r="BZ58" s="36">
        <f>F58+L58+R58+X58+AD58+AJ58+AP58+AV58+BB58+BH58+BN58+BT58</f>
        <v>0</v>
      </c>
      <c r="CA58" s="36">
        <f>G58+M58+S58+Y58+AE58+AK58+AQ58+AW58+BC58+BI58+BO58+BU58</f>
        <v>0</v>
      </c>
      <c r="CB58" s="36">
        <f t="shared" si="26"/>
        <v>0</v>
      </c>
    </row>
    <row r="59" spans="1:80" s="44" customFormat="1" ht="12" outlineLevel="2" x14ac:dyDescent="0.2">
      <c r="A59" s="73" t="s">
        <v>78</v>
      </c>
      <c r="B59" s="66" t="s">
        <v>79</v>
      </c>
      <c r="C59" s="67"/>
      <c r="D59" s="67"/>
      <c r="E59" s="60">
        <f t="shared" si="22"/>
        <v>0</v>
      </c>
      <c r="F59" s="67"/>
      <c r="G59" s="67"/>
      <c r="H59" s="60">
        <f t="shared" si="28"/>
        <v>0</v>
      </c>
      <c r="I59" s="67"/>
      <c r="J59" s="67"/>
      <c r="K59" s="60">
        <f t="shared" si="29"/>
        <v>0</v>
      </c>
      <c r="L59" s="67"/>
      <c r="M59" s="67"/>
      <c r="N59" s="60">
        <f t="shared" si="50"/>
        <v>0</v>
      </c>
      <c r="O59" s="67"/>
      <c r="P59" s="67"/>
      <c r="Q59" s="60">
        <f t="shared" si="30"/>
        <v>0</v>
      </c>
      <c r="R59" s="67"/>
      <c r="S59" s="67"/>
      <c r="T59" s="60">
        <f t="shared" si="31"/>
        <v>0</v>
      </c>
      <c r="U59" s="67"/>
      <c r="V59" s="67"/>
      <c r="W59" s="60">
        <f t="shared" si="32"/>
        <v>0</v>
      </c>
      <c r="X59" s="67"/>
      <c r="Y59" s="67"/>
      <c r="Z59" s="60">
        <f t="shared" si="33"/>
        <v>0</v>
      </c>
      <c r="AA59" s="67"/>
      <c r="AB59" s="67"/>
      <c r="AC59" s="60">
        <f t="shared" si="34"/>
        <v>0</v>
      </c>
      <c r="AD59" s="67"/>
      <c r="AE59" s="67"/>
      <c r="AF59" s="60">
        <f t="shared" si="35"/>
        <v>0</v>
      </c>
      <c r="AG59" s="67"/>
      <c r="AH59" s="67"/>
      <c r="AI59" s="60">
        <f t="shared" si="36"/>
        <v>0</v>
      </c>
      <c r="AJ59" s="67"/>
      <c r="AK59" s="67"/>
      <c r="AL59" s="60">
        <f t="shared" si="37"/>
        <v>0</v>
      </c>
      <c r="AM59" s="67"/>
      <c r="AN59" s="67"/>
      <c r="AO59" s="60">
        <f t="shared" si="38"/>
        <v>0</v>
      </c>
      <c r="AP59" s="67"/>
      <c r="AQ59" s="67"/>
      <c r="AR59" s="60">
        <f t="shared" si="39"/>
        <v>0</v>
      </c>
      <c r="AS59" s="67"/>
      <c r="AT59" s="67"/>
      <c r="AU59" s="60">
        <f t="shared" si="40"/>
        <v>0</v>
      </c>
      <c r="AV59" s="67"/>
      <c r="AW59" s="67"/>
      <c r="AX59" s="60">
        <f t="shared" si="41"/>
        <v>0</v>
      </c>
      <c r="AY59" s="67"/>
      <c r="AZ59" s="67"/>
      <c r="BA59" s="60">
        <f t="shared" si="42"/>
        <v>0</v>
      </c>
      <c r="BB59" s="67"/>
      <c r="BC59" s="67"/>
      <c r="BD59" s="60">
        <f t="shared" si="43"/>
        <v>0</v>
      </c>
      <c r="BE59" s="67"/>
      <c r="BF59" s="67"/>
      <c r="BG59" s="60">
        <f t="shared" si="44"/>
        <v>0</v>
      </c>
      <c r="BH59" s="67"/>
      <c r="BI59" s="67"/>
      <c r="BJ59" s="60">
        <f t="shared" si="45"/>
        <v>0</v>
      </c>
      <c r="BK59" s="67"/>
      <c r="BL59" s="67"/>
      <c r="BM59" s="60">
        <f t="shared" si="46"/>
        <v>0</v>
      </c>
      <c r="BN59" s="67"/>
      <c r="BO59" s="67"/>
      <c r="BP59" s="60">
        <f t="shared" si="47"/>
        <v>0</v>
      </c>
      <c r="BQ59" s="67"/>
      <c r="BR59" s="67"/>
      <c r="BS59" s="60">
        <f t="shared" si="48"/>
        <v>0</v>
      </c>
      <c r="BT59" s="67"/>
      <c r="BU59" s="67"/>
      <c r="BV59" s="60">
        <f t="shared" si="49"/>
        <v>0</v>
      </c>
      <c r="BW59" s="43">
        <f t="shared" si="23"/>
        <v>0</v>
      </c>
      <c r="BX59" s="43">
        <f t="shared" si="23"/>
        <v>0</v>
      </c>
      <c r="BY59" s="43">
        <f t="shared" si="24"/>
        <v>0</v>
      </c>
      <c r="BZ59" s="43">
        <f t="shared" si="25"/>
        <v>0</v>
      </c>
      <c r="CA59" s="43">
        <f t="shared" si="25"/>
        <v>0</v>
      </c>
      <c r="CB59" s="43">
        <f t="shared" si="26"/>
        <v>0</v>
      </c>
    </row>
    <row r="60" spans="1:80" s="44" customFormat="1" ht="12" outlineLevel="2" x14ac:dyDescent="0.2">
      <c r="A60" s="73" t="s">
        <v>80</v>
      </c>
      <c r="B60" s="66" t="s">
        <v>81</v>
      </c>
      <c r="C60" s="67"/>
      <c r="D60" s="67"/>
      <c r="E60" s="60">
        <f t="shared" si="22"/>
        <v>0</v>
      </c>
      <c r="F60" s="67"/>
      <c r="G60" s="67"/>
      <c r="H60" s="60">
        <f t="shared" si="28"/>
        <v>0</v>
      </c>
      <c r="I60" s="67"/>
      <c r="J60" s="67"/>
      <c r="K60" s="60">
        <f t="shared" si="29"/>
        <v>0</v>
      </c>
      <c r="L60" s="67"/>
      <c r="M60" s="67"/>
      <c r="N60" s="60">
        <f t="shared" si="50"/>
        <v>0</v>
      </c>
      <c r="O60" s="67"/>
      <c r="P60" s="67"/>
      <c r="Q60" s="60">
        <f t="shared" si="30"/>
        <v>0</v>
      </c>
      <c r="R60" s="67"/>
      <c r="S60" s="67"/>
      <c r="T60" s="60">
        <f t="shared" si="31"/>
        <v>0</v>
      </c>
      <c r="U60" s="67"/>
      <c r="V60" s="67"/>
      <c r="W60" s="60">
        <f t="shared" si="32"/>
        <v>0</v>
      </c>
      <c r="X60" s="67"/>
      <c r="Y60" s="67"/>
      <c r="Z60" s="60">
        <f t="shared" si="33"/>
        <v>0</v>
      </c>
      <c r="AA60" s="67"/>
      <c r="AB60" s="67"/>
      <c r="AC60" s="60">
        <f t="shared" si="34"/>
        <v>0</v>
      </c>
      <c r="AD60" s="67"/>
      <c r="AE60" s="67"/>
      <c r="AF60" s="60">
        <f t="shared" si="35"/>
        <v>0</v>
      </c>
      <c r="AG60" s="67"/>
      <c r="AH60" s="67"/>
      <c r="AI60" s="60">
        <f t="shared" si="36"/>
        <v>0</v>
      </c>
      <c r="AJ60" s="67"/>
      <c r="AK60" s="67"/>
      <c r="AL60" s="60">
        <f t="shared" si="37"/>
        <v>0</v>
      </c>
      <c r="AM60" s="67"/>
      <c r="AN60" s="67"/>
      <c r="AO60" s="60">
        <f t="shared" si="38"/>
        <v>0</v>
      </c>
      <c r="AP60" s="67"/>
      <c r="AQ60" s="67"/>
      <c r="AR60" s="60">
        <f t="shared" si="39"/>
        <v>0</v>
      </c>
      <c r="AS60" s="67"/>
      <c r="AT60" s="67"/>
      <c r="AU60" s="60">
        <f t="shared" si="40"/>
        <v>0</v>
      </c>
      <c r="AV60" s="67"/>
      <c r="AW60" s="67"/>
      <c r="AX60" s="60">
        <f t="shared" si="41"/>
        <v>0</v>
      </c>
      <c r="AY60" s="67"/>
      <c r="AZ60" s="67"/>
      <c r="BA60" s="60">
        <f t="shared" si="42"/>
        <v>0</v>
      </c>
      <c r="BB60" s="67"/>
      <c r="BC60" s="67"/>
      <c r="BD60" s="60">
        <f t="shared" si="43"/>
        <v>0</v>
      </c>
      <c r="BE60" s="67"/>
      <c r="BF60" s="67"/>
      <c r="BG60" s="60">
        <f t="shared" si="44"/>
        <v>0</v>
      </c>
      <c r="BH60" s="67"/>
      <c r="BI60" s="67"/>
      <c r="BJ60" s="60">
        <f t="shared" si="45"/>
        <v>0</v>
      </c>
      <c r="BK60" s="67"/>
      <c r="BL60" s="67"/>
      <c r="BM60" s="60">
        <f t="shared" si="46"/>
        <v>0</v>
      </c>
      <c r="BN60" s="67"/>
      <c r="BO60" s="67"/>
      <c r="BP60" s="60">
        <f t="shared" si="47"/>
        <v>0</v>
      </c>
      <c r="BQ60" s="67"/>
      <c r="BR60" s="67"/>
      <c r="BS60" s="60">
        <f t="shared" si="48"/>
        <v>0</v>
      </c>
      <c r="BT60" s="67"/>
      <c r="BU60" s="67"/>
      <c r="BV60" s="60">
        <f t="shared" si="49"/>
        <v>0</v>
      </c>
      <c r="BW60" s="43">
        <f t="shared" si="23"/>
        <v>0</v>
      </c>
      <c r="BX60" s="43">
        <f t="shared" si="23"/>
        <v>0</v>
      </c>
      <c r="BY60" s="43">
        <f t="shared" si="24"/>
        <v>0</v>
      </c>
      <c r="BZ60" s="43">
        <f t="shared" si="25"/>
        <v>0</v>
      </c>
      <c r="CA60" s="43">
        <f t="shared" si="25"/>
        <v>0</v>
      </c>
      <c r="CB60" s="43">
        <f t="shared" si="26"/>
        <v>0</v>
      </c>
    </row>
    <row r="61" spans="1:80" s="15" customFormat="1" outlineLevel="1" x14ac:dyDescent="0.2">
      <c r="A61" s="33">
        <v>222</v>
      </c>
      <c r="B61" s="49" t="s">
        <v>39</v>
      </c>
      <c r="C61" s="51"/>
      <c r="D61" s="51"/>
      <c r="E61" s="52">
        <f t="shared" si="22"/>
        <v>0</v>
      </c>
      <c r="F61" s="51"/>
      <c r="G61" s="51"/>
      <c r="H61" s="52">
        <f t="shared" si="28"/>
        <v>0</v>
      </c>
      <c r="I61" s="51"/>
      <c r="J61" s="51"/>
      <c r="K61" s="52">
        <f t="shared" si="29"/>
        <v>0</v>
      </c>
      <c r="L61" s="51"/>
      <c r="M61" s="51"/>
      <c r="N61" s="52">
        <f t="shared" si="50"/>
        <v>0</v>
      </c>
      <c r="O61" s="51"/>
      <c r="P61" s="51"/>
      <c r="Q61" s="52">
        <f t="shared" si="30"/>
        <v>0</v>
      </c>
      <c r="R61" s="51"/>
      <c r="S61" s="51"/>
      <c r="T61" s="52">
        <f t="shared" si="31"/>
        <v>0</v>
      </c>
      <c r="U61" s="51">
        <v>550000</v>
      </c>
      <c r="V61" s="51"/>
      <c r="W61" s="52">
        <f t="shared" si="32"/>
        <v>550000</v>
      </c>
      <c r="X61" s="51"/>
      <c r="Y61" s="51"/>
      <c r="Z61" s="52">
        <f t="shared" si="33"/>
        <v>0</v>
      </c>
      <c r="AA61" s="51">
        <v>300000</v>
      </c>
      <c r="AB61" s="51"/>
      <c r="AC61" s="52">
        <f t="shared" si="34"/>
        <v>300000</v>
      </c>
      <c r="AD61" s="51"/>
      <c r="AE61" s="51"/>
      <c r="AF61" s="52">
        <f t="shared" si="35"/>
        <v>0</v>
      </c>
      <c r="AG61" s="51"/>
      <c r="AH61" s="51"/>
      <c r="AI61" s="52">
        <f t="shared" si="36"/>
        <v>0</v>
      </c>
      <c r="AJ61" s="51"/>
      <c r="AK61" s="51"/>
      <c r="AL61" s="52">
        <f t="shared" si="37"/>
        <v>0</v>
      </c>
      <c r="AM61" s="51"/>
      <c r="AN61" s="51"/>
      <c r="AO61" s="52">
        <f t="shared" si="38"/>
        <v>0</v>
      </c>
      <c r="AP61" s="51"/>
      <c r="AQ61" s="51"/>
      <c r="AR61" s="52">
        <f t="shared" si="39"/>
        <v>0</v>
      </c>
      <c r="AS61" s="51">
        <v>100000</v>
      </c>
      <c r="AT61" s="51"/>
      <c r="AU61" s="52">
        <f t="shared" si="40"/>
        <v>100000</v>
      </c>
      <c r="AV61" s="51"/>
      <c r="AW61" s="51"/>
      <c r="AX61" s="52">
        <f t="shared" si="41"/>
        <v>0</v>
      </c>
      <c r="AY61" s="51"/>
      <c r="AZ61" s="51"/>
      <c r="BA61" s="52">
        <f t="shared" si="42"/>
        <v>0</v>
      </c>
      <c r="BB61" s="51"/>
      <c r="BC61" s="51"/>
      <c r="BD61" s="52">
        <f t="shared" si="43"/>
        <v>0</v>
      </c>
      <c r="BE61" s="51"/>
      <c r="BF61" s="51"/>
      <c r="BG61" s="52">
        <f t="shared" si="44"/>
        <v>0</v>
      </c>
      <c r="BH61" s="51"/>
      <c r="BI61" s="51"/>
      <c r="BJ61" s="52">
        <f t="shared" si="45"/>
        <v>0</v>
      </c>
      <c r="BK61" s="51"/>
      <c r="BL61" s="51"/>
      <c r="BM61" s="52">
        <f t="shared" si="46"/>
        <v>0</v>
      </c>
      <c r="BN61" s="51"/>
      <c r="BO61" s="51"/>
      <c r="BP61" s="52">
        <f t="shared" si="47"/>
        <v>0</v>
      </c>
      <c r="BQ61" s="51"/>
      <c r="BR61" s="51"/>
      <c r="BS61" s="52">
        <f t="shared" si="48"/>
        <v>0</v>
      </c>
      <c r="BT61" s="51"/>
      <c r="BU61" s="51"/>
      <c r="BV61" s="52">
        <f t="shared" si="49"/>
        <v>0</v>
      </c>
      <c r="BW61" s="36">
        <f t="shared" si="23"/>
        <v>950000</v>
      </c>
      <c r="BX61" s="36">
        <f t="shared" si="23"/>
        <v>0</v>
      </c>
      <c r="BY61" s="36">
        <f t="shared" si="24"/>
        <v>950000</v>
      </c>
      <c r="BZ61" s="36">
        <f t="shared" si="25"/>
        <v>0</v>
      </c>
      <c r="CA61" s="36">
        <f t="shared" si="25"/>
        <v>0</v>
      </c>
      <c r="CB61" s="36">
        <f t="shared" si="26"/>
        <v>0</v>
      </c>
    </row>
    <row r="62" spans="1:80" s="44" customFormat="1" ht="24" outlineLevel="1" x14ac:dyDescent="0.2">
      <c r="A62" s="38"/>
      <c r="B62" s="39" t="s">
        <v>82</v>
      </c>
      <c r="C62" s="63"/>
      <c r="D62" s="63"/>
      <c r="E62" s="60">
        <f t="shared" si="22"/>
        <v>0</v>
      </c>
      <c r="F62" s="63"/>
      <c r="G62" s="63"/>
      <c r="H62" s="60">
        <f t="shared" si="28"/>
        <v>0</v>
      </c>
      <c r="I62" s="63"/>
      <c r="J62" s="63"/>
      <c r="K62" s="60">
        <f t="shared" si="29"/>
        <v>0</v>
      </c>
      <c r="L62" s="63"/>
      <c r="M62" s="63"/>
      <c r="N62" s="60">
        <f t="shared" si="50"/>
        <v>0</v>
      </c>
      <c r="O62" s="63"/>
      <c r="P62" s="63"/>
      <c r="Q62" s="60">
        <f t="shared" si="30"/>
        <v>0</v>
      </c>
      <c r="R62" s="63"/>
      <c r="S62" s="63"/>
      <c r="T62" s="60">
        <f t="shared" si="31"/>
        <v>0</v>
      </c>
      <c r="U62" s="63"/>
      <c r="V62" s="63"/>
      <c r="W62" s="60">
        <f t="shared" si="32"/>
        <v>0</v>
      </c>
      <c r="X62" s="63"/>
      <c r="Y62" s="63"/>
      <c r="Z62" s="60">
        <f t="shared" si="33"/>
        <v>0</v>
      </c>
      <c r="AA62" s="63"/>
      <c r="AB62" s="63"/>
      <c r="AC62" s="60">
        <f t="shared" si="34"/>
        <v>0</v>
      </c>
      <c r="AD62" s="63"/>
      <c r="AE62" s="63"/>
      <c r="AF62" s="60">
        <f t="shared" si="35"/>
        <v>0</v>
      </c>
      <c r="AG62" s="63"/>
      <c r="AH62" s="63"/>
      <c r="AI62" s="60">
        <f t="shared" si="36"/>
        <v>0</v>
      </c>
      <c r="AJ62" s="63"/>
      <c r="AK62" s="63"/>
      <c r="AL62" s="60">
        <f t="shared" si="37"/>
        <v>0</v>
      </c>
      <c r="AM62" s="63"/>
      <c r="AN62" s="63"/>
      <c r="AO62" s="60">
        <f t="shared" si="38"/>
        <v>0</v>
      </c>
      <c r="AP62" s="63"/>
      <c r="AQ62" s="63"/>
      <c r="AR62" s="60">
        <f t="shared" si="39"/>
        <v>0</v>
      </c>
      <c r="AS62" s="63"/>
      <c r="AT62" s="63"/>
      <c r="AU62" s="60">
        <f t="shared" si="40"/>
        <v>0</v>
      </c>
      <c r="AV62" s="63"/>
      <c r="AW62" s="63"/>
      <c r="AX62" s="60">
        <f t="shared" si="41"/>
        <v>0</v>
      </c>
      <c r="AY62" s="63"/>
      <c r="AZ62" s="63"/>
      <c r="BA62" s="60">
        <f t="shared" si="42"/>
        <v>0</v>
      </c>
      <c r="BB62" s="63"/>
      <c r="BC62" s="63"/>
      <c r="BD62" s="60">
        <f t="shared" si="43"/>
        <v>0</v>
      </c>
      <c r="BE62" s="63"/>
      <c r="BF62" s="63"/>
      <c r="BG62" s="60">
        <f t="shared" si="44"/>
        <v>0</v>
      </c>
      <c r="BH62" s="63"/>
      <c r="BI62" s="63"/>
      <c r="BJ62" s="60">
        <f t="shared" si="45"/>
        <v>0</v>
      </c>
      <c r="BK62" s="63"/>
      <c r="BL62" s="63"/>
      <c r="BM62" s="60">
        <f t="shared" si="46"/>
        <v>0</v>
      </c>
      <c r="BN62" s="63"/>
      <c r="BO62" s="63"/>
      <c r="BP62" s="60">
        <f t="shared" si="47"/>
        <v>0</v>
      </c>
      <c r="BQ62" s="63"/>
      <c r="BR62" s="63"/>
      <c r="BS62" s="60">
        <f t="shared" si="48"/>
        <v>0</v>
      </c>
      <c r="BT62" s="63"/>
      <c r="BU62" s="63"/>
      <c r="BV62" s="60">
        <f t="shared" si="49"/>
        <v>0</v>
      </c>
      <c r="BW62" s="43">
        <f t="shared" si="23"/>
        <v>0</v>
      </c>
      <c r="BX62" s="43">
        <f t="shared" si="23"/>
        <v>0</v>
      </c>
      <c r="BY62" s="43">
        <f t="shared" si="24"/>
        <v>0</v>
      </c>
      <c r="BZ62" s="43">
        <f t="shared" si="25"/>
        <v>0</v>
      </c>
      <c r="CA62" s="43">
        <f t="shared" si="25"/>
        <v>0</v>
      </c>
      <c r="CB62" s="43">
        <f t="shared" si="26"/>
        <v>0</v>
      </c>
    </row>
    <row r="63" spans="1:80" s="15" customFormat="1" outlineLevel="1" x14ac:dyDescent="0.2">
      <c r="A63" s="33">
        <v>223</v>
      </c>
      <c r="B63" s="49" t="s">
        <v>83</v>
      </c>
      <c r="C63" s="51"/>
      <c r="D63" s="51"/>
      <c r="E63" s="52">
        <f t="shared" si="22"/>
        <v>0</v>
      </c>
      <c r="F63" s="51"/>
      <c r="G63" s="51"/>
      <c r="H63" s="52">
        <f t="shared" si="28"/>
        <v>0</v>
      </c>
      <c r="I63" s="51"/>
      <c r="J63" s="51"/>
      <c r="K63" s="52">
        <f t="shared" si="29"/>
        <v>0</v>
      </c>
      <c r="L63" s="51"/>
      <c r="M63" s="51"/>
      <c r="N63" s="52">
        <f t="shared" si="50"/>
        <v>0</v>
      </c>
      <c r="O63" s="51"/>
      <c r="P63" s="51"/>
      <c r="Q63" s="52">
        <f t="shared" si="30"/>
        <v>0</v>
      </c>
      <c r="R63" s="51"/>
      <c r="S63" s="51"/>
      <c r="T63" s="52">
        <f t="shared" si="31"/>
        <v>0</v>
      </c>
      <c r="U63" s="51"/>
      <c r="V63" s="51"/>
      <c r="W63" s="52">
        <f t="shared" si="32"/>
        <v>0</v>
      </c>
      <c r="X63" s="51"/>
      <c r="Y63" s="51"/>
      <c r="Z63" s="52">
        <f t="shared" si="33"/>
        <v>0</v>
      </c>
      <c r="AA63" s="51"/>
      <c r="AB63" s="51"/>
      <c r="AC63" s="52">
        <f t="shared" si="34"/>
        <v>0</v>
      </c>
      <c r="AD63" s="51"/>
      <c r="AE63" s="51"/>
      <c r="AF63" s="52">
        <f t="shared" si="35"/>
        <v>0</v>
      </c>
      <c r="AG63" s="51"/>
      <c r="AH63" s="51"/>
      <c r="AI63" s="52">
        <f t="shared" si="36"/>
        <v>0</v>
      </c>
      <c r="AJ63" s="51"/>
      <c r="AK63" s="51"/>
      <c r="AL63" s="52">
        <f t="shared" si="37"/>
        <v>0</v>
      </c>
      <c r="AM63" s="51"/>
      <c r="AN63" s="51"/>
      <c r="AO63" s="52">
        <f t="shared" si="38"/>
        <v>0</v>
      </c>
      <c r="AP63" s="51"/>
      <c r="AQ63" s="51"/>
      <c r="AR63" s="52">
        <f t="shared" si="39"/>
        <v>0</v>
      </c>
      <c r="AS63" s="51"/>
      <c r="AT63" s="51">
        <f>500+73000</f>
        <v>73500</v>
      </c>
      <c r="AU63" s="52">
        <f t="shared" si="40"/>
        <v>73500</v>
      </c>
      <c r="AV63" s="51"/>
      <c r="AW63" s="51"/>
      <c r="AX63" s="52">
        <f t="shared" si="41"/>
        <v>0</v>
      </c>
      <c r="AY63" s="51"/>
      <c r="AZ63" s="51"/>
      <c r="BA63" s="52">
        <f t="shared" si="42"/>
        <v>0</v>
      </c>
      <c r="BB63" s="51"/>
      <c r="BC63" s="51"/>
      <c r="BD63" s="52">
        <f t="shared" si="43"/>
        <v>0</v>
      </c>
      <c r="BE63" s="51"/>
      <c r="BF63" s="51"/>
      <c r="BG63" s="52">
        <f t="shared" si="44"/>
        <v>0</v>
      </c>
      <c r="BH63" s="51"/>
      <c r="BI63" s="51"/>
      <c r="BJ63" s="52">
        <f t="shared" si="45"/>
        <v>0</v>
      </c>
      <c r="BK63" s="51"/>
      <c r="BL63" s="51"/>
      <c r="BM63" s="52">
        <f t="shared" si="46"/>
        <v>0</v>
      </c>
      <c r="BN63" s="51"/>
      <c r="BO63" s="51"/>
      <c r="BP63" s="52">
        <f t="shared" si="47"/>
        <v>0</v>
      </c>
      <c r="BQ63" s="51"/>
      <c r="BR63" s="51"/>
      <c r="BS63" s="52">
        <f t="shared" si="48"/>
        <v>0</v>
      </c>
      <c r="BT63" s="51"/>
      <c r="BU63" s="51"/>
      <c r="BV63" s="52">
        <f t="shared" si="49"/>
        <v>0</v>
      </c>
      <c r="BW63" s="36">
        <f t="shared" si="23"/>
        <v>0</v>
      </c>
      <c r="BX63" s="36">
        <f t="shared" si="23"/>
        <v>73500</v>
      </c>
      <c r="BY63" s="36">
        <f t="shared" si="24"/>
        <v>73500</v>
      </c>
      <c r="BZ63" s="36">
        <f t="shared" si="25"/>
        <v>0</v>
      </c>
      <c r="CA63" s="36">
        <f t="shared" si="25"/>
        <v>0</v>
      </c>
      <c r="CB63" s="36">
        <f t="shared" si="26"/>
        <v>0</v>
      </c>
    </row>
    <row r="64" spans="1:80" s="44" customFormat="1" ht="12" outlineLevel="1" x14ac:dyDescent="0.2">
      <c r="A64" s="38"/>
      <c r="B64" s="39" t="s">
        <v>84</v>
      </c>
      <c r="C64" s="63"/>
      <c r="D64" s="63"/>
      <c r="E64" s="60">
        <f t="shared" si="22"/>
        <v>0</v>
      </c>
      <c r="F64" s="63"/>
      <c r="G64" s="63"/>
      <c r="H64" s="60">
        <f t="shared" si="28"/>
        <v>0</v>
      </c>
      <c r="I64" s="63"/>
      <c r="J64" s="63"/>
      <c r="K64" s="60">
        <f t="shared" si="29"/>
        <v>0</v>
      </c>
      <c r="L64" s="63"/>
      <c r="M64" s="63"/>
      <c r="N64" s="60">
        <f t="shared" si="50"/>
        <v>0</v>
      </c>
      <c r="O64" s="63"/>
      <c r="P64" s="63"/>
      <c r="Q64" s="60">
        <f t="shared" si="30"/>
        <v>0</v>
      </c>
      <c r="R64" s="63"/>
      <c r="S64" s="63"/>
      <c r="T64" s="60">
        <f t="shared" si="31"/>
        <v>0</v>
      </c>
      <c r="U64" s="63"/>
      <c r="V64" s="63"/>
      <c r="W64" s="60">
        <f t="shared" si="32"/>
        <v>0</v>
      </c>
      <c r="X64" s="63"/>
      <c r="Y64" s="63"/>
      <c r="Z64" s="60">
        <f t="shared" si="33"/>
        <v>0</v>
      </c>
      <c r="AA64" s="63"/>
      <c r="AB64" s="63"/>
      <c r="AC64" s="60">
        <f t="shared" si="34"/>
        <v>0</v>
      </c>
      <c r="AD64" s="63"/>
      <c r="AE64" s="63"/>
      <c r="AF64" s="60">
        <f t="shared" si="35"/>
        <v>0</v>
      </c>
      <c r="AG64" s="63"/>
      <c r="AH64" s="63"/>
      <c r="AI64" s="60">
        <f t="shared" si="36"/>
        <v>0</v>
      </c>
      <c r="AJ64" s="63"/>
      <c r="AK64" s="63"/>
      <c r="AL64" s="60">
        <f t="shared" si="37"/>
        <v>0</v>
      </c>
      <c r="AM64" s="63"/>
      <c r="AN64" s="63"/>
      <c r="AO64" s="60">
        <f t="shared" si="38"/>
        <v>0</v>
      </c>
      <c r="AP64" s="63"/>
      <c r="AQ64" s="63"/>
      <c r="AR64" s="60">
        <f t="shared" si="39"/>
        <v>0</v>
      </c>
      <c r="AS64" s="63"/>
      <c r="AT64" s="63"/>
      <c r="AU64" s="60">
        <f t="shared" si="40"/>
        <v>0</v>
      </c>
      <c r="AV64" s="63"/>
      <c r="AW64" s="63"/>
      <c r="AX64" s="60">
        <f t="shared" si="41"/>
        <v>0</v>
      </c>
      <c r="AY64" s="63"/>
      <c r="AZ64" s="63"/>
      <c r="BA64" s="60">
        <f t="shared" si="42"/>
        <v>0</v>
      </c>
      <c r="BB64" s="63"/>
      <c r="BC64" s="63"/>
      <c r="BD64" s="60">
        <f t="shared" si="43"/>
        <v>0</v>
      </c>
      <c r="BE64" s="63"/>
      <c r="BF64" s="63"/>
      <c r="BG64" s="60">
        <f t="shared" si="44"/>
        <v>0</v>
      </c>
      <c r="BH64" s="63"/>
      <c r="BI64" s="63"/>
      <c r="BJ64" s="60">
        <f t="shared" si="45"/>
        <v>0</v>
      </c>
      <c r="BK64" s="63"/>
      <c r="BL64" s="63"/>
      <c r="BM64" s="60">
        <f t="shared" si="46"/>
        <v>0</v>
      </c>
      <c r="BN64" s="63"/>
      <c r="BO64" s="63"/>
      <c r="BP64" s="60">
        <f t="shared" si="47"/>
        <v>0</v>
      </c>
      <c r="BQ64" s="63"/>
      <c r="BR64" s="63"/>
      <c r="BS64" s="60">
        <f t="shared" si="48"/>
        <v>0</v>
      </c>
      <c r="BT64" s="63"/>
      <c r="BU64" s="63"/>
      <c r="BV64" s="60">
        <f t="shared" si="49"/>
        <v>0</v>
      </c>
      <c r="BW64" s="43">
        <f t="shared" si="23"/>
        <v>0</v>
      </c>
      <c r="BX64" s="43">
        <f t="shared" si="23"/>
        <v>0</v>
      </c>
      <c r="BY64" s="43">
        <f t="shared" si="24"/>
        <v>0</v>
      </c>
      <c r="BZ64" s="43">
        <f t="shared" si="25"/>
        <v>0</v>
      </c>
      <c r="CA64" s="43">
        <f t="shared" si="25"/>
        <v>0</v>
      </c>
      <c r="CB64" s="43">
        <f t="shared" si="26"/>
        <v>0</v>
      </c>
    </row>
    <row r="65" spans="1:82" s="15" customFormat="1" ht="25.5" outlineLevel="1" x14ac:dyDescent="0.2">
      <c r="A65" s="33">
        <v>224</v>
      </c>
      <c r="B65" s="49" t="s">
        <v>85</v>
      </c>
      <c r="C65" s="51"/>
      <c r="D65" s="51"/>
      <c r="E65" s="52">
        <f t="shared" si="22"/>
        <v>0</v>
      </c>
      <c r="F65" s="51"/>
      <c r="G65" s="51"/>
      <c r="H65" s="52">
        <f t="shared" si="28"/>
        <v>0</v>
      </c>
      <c r="I65" s="51"/>
      <c r="J65" s="51"/>
      <c r="K65" s="52">
        <f t="shared" si="29"/>
        <v>0</v>
      </c>
      <c r="L65" s="51"/>
      <c r="M65" s="51"/>
      <c r="N65" s="52">
        <f t="shared" si="50"/>
        <v>0</v>
      </c>
      <c r="O65" s="51"/>
      <c r="P65" s="51"/>
      <c r="Q65" s="52">
        <f t="shared" si="30"/>
        <v>0</v>
      </c>
      <c r="R65" s="51"/>
      <c r="S65" s="51"/>
      <c r="T65" s="52">
        <f t="shared" si="31"/>
        <v>0</v>
      </c>
      <c r="U65" s="51"/>
      <c r="V65" s="51"/>
      <c r="W65" s="52">
        <f t="shared" si="32"/>
        <v>0</v>
      </c>
      <c r="X65" s="51"/>
      <c r="Y65" s="51"/>
      <c r="Z65" s="52">
        <f t="shared" si="33"/>
        <v>0</v>
      </c>
      <c r="AA65" s="51"/>
      <c r="AB65" s="51"/>
      <c r="AC65" s="52">
        <f t="shared" si="34"/>
        <v>0</v>
      </c>
      <c r="AD65" s="51"/>
      <c r="AE65" s="51"/>
      <c r="AF65" s="52">
        <f t="shared" si="35"/>
        <v>0</v>
      </c>
      <c r="AG65" s="51"/>
      <c r="AH65" s="51"/>
      <c r="AI65" s="52">
        <f t="shared" si="36"/>
        <v>0</v>
      </c>
      <c r="AJ65" s="51"/>
      <c r="AK65" s="51"/>
      <c r="AL65" s="52">
        <f t="shared" si="37"/>
        <v>0</v>
      </c>
      <c r="AM65" s="51"/>
      <c r="AN65" s="51"/>
      <c r="AO65" s="52">
        <f t="shared" si="38"/>
        <v>0</v>
      </c>
      <c r="AP65" s="51"/>
      <c r="AQ65" s="51"/>
      <c r="AR65" s="52">
        <f t="shared" si="39"/>
        <v>0</v>
      </c>
      <c r="AS65" s="51"/>
      <c r="AT65" s="51"/>
      <c r="AU65" s="52">
        <f t="shared" si="40"/>
        <v>0</v>
      </c>
      <c r="AV65" s="51"/>
      <c r="AW65" s="51"/>
      <c r="AX65" s="52">
        <f t="shared" si="41"/>
        <v>0</v>
      </c>
      <c r="AY65" s="51"/>
      <c r="AZ65" s="51"/>
      <c r="BA65" s="52">
        <f t="shared" si="42"/>
        <v>0</v>
      </c>
      <c r="BB65" s="51"/>
      <c r="BC65" s="51"/>
      <c r="BD65" s="52">
        <f t="shared" si="43"/>
        <v>0</v>
      </c>
      <c r="BE65" s="51"/>
      <c r="BF65" s="51"/>
      <c r="BG65" s="52">
        <f t="shared" si="44"/>
        <v>0</v>
      </c>
      <c r="BH65" s="51"/>
      <c r="BI65" s="51"/>
      <c r="BJ65" s="52">
        <f t="shared" si="45"/>
        <v>0</v>
      </c>
      <c r="BK65" s="51"/>
      <c r="BL65" s="51"/>
      <c r="BM65" s="52">
        <f t="shared" si="46"/>
        <v>0</v>
      </c>
      <c r="BN65" s="51"/>
      <c r="BO65" s="51"/>
      <c r="BP65" s="52">
        <f t="shared" si="47"/>
        <v>0</v>
      </c>
      <c r="BQ65" s="51"/>
      <c r="BR65" s="51"/>
      <c r="BS65" s="52">
        <f t="shared" si="48"/>
        <v>0</v>
      </c>
      <c r="BT65" s="51"/>
      <c r="BU65" s="51"/>
      <c r="BV65" s="52">
        <f t="shared" si="49"/>
        <v>0</v>
      </c>
      <c r="BW65" s="36">
        <f t="shared" si="23"/>
        <v>0</v>
      </c>
      <c r="BX65" s="36">
        <f t="shared" si="23"/>
        <v>0</v>
      </c>
      <c r="BY65" s="36">
        <f t="shared" si="24"/>
        <v>0</v>
      </c>
      <c r="BZ65" s="36">
        <f t="shared" si="25"/>
        <v>0</v>
      </c>
      <c r="CA65" s="36">
        <f t="shared" si="25"/>
        <v>0</v>
      </c>
      <c r="CB65" s="36">
        <f t="shared" si="26"/>
        <v>0</v>
      </c>
    </row>
    <row r="66" spans="1:82" s="15" customFormat="1" outlineLevel="1" x14ac:dyDescent="0.2">
      <c r="A66" s="33">
        <v>321</v>
      </c>
      <c r="B66" s="49" t="s">
        <v>86</v>
      </c>
      <c r="C66" s="51"/>
      <c r="D66" s="51"/>
      <c r="E66" s="52">
        <f t="shared" si="22"/>
        <v>0</v>
      </c>
      <c r="F66" s="51"/>
      <c r="G66" s="51"/>
      <c r="H66" s="52">
        <f t="shared" si="28"/>
        <v>0</v>
      </c>
      <c r="I66" s="51"/>
      <c r="J66" s="51"/>
      <c r="K66" s="52">
        <f t="shared" si="29"/>
        <v>0</v>
      </c>
      <c r="L66" s="51"/>
      <c r="M66" s="51"/>
      <c r="N66" s="52">
        <f t="shared" si="50"/>
        <v>0</v>
      </c>
      <c r="O66" s="51"/>
      <c r="P66" s="51"/>
      <c r="Q66" s="52">
        <f t="shared" si="30"/>
        <v>0</v>
      </c>
      <c r="R66" s="51"/>
      <c r="S66" s="51"/>
      <c r="T66" s="52">
        <f t="shared" si="31"/>
        <v>0</v>
      </c>
      <c r="U66" s="51"/>
      <c r="V66" s="51"/>
      <c r="W66" s="52">
        <f t="shared" si="32"/>
        <v>0</v>
      </c>
      <c r="X66" s="51"/>
      <c r="Y66" s="51"/>
      <c r="Z66" s="52">
        <f t="shared" si="33"/>
        <v>0</v>
      </c>
      <c r="AA66" s="51"/>
      <c r="AB66" s="51"/>
      <c r="AC66" s="52">
        <f t="shared" si="34"/>
        <v>0</v>
      </c>
      <c r="AD66" s="51"/>
      <c r="AE66" s="51"/>
      <c r="AF66" s="52">
        <f t="shared" si="35"/>
        <v>0</v>
      </c>
      <c r="AG66" s="51"/>
      <c r="AH66" s="51"/>
      <c r="AI66" s="52">
        <f t="shared" si="36"/>
        <v>0</v>
      </c>
      <c r="AJ66" s="51"/>
      <c r="AK66" s="51"/>
      <c r="AL66" s="52">
        <f t="shared" si="37"/>
        <v>0</v>
      </c>
      <c r="AM66" s="51"/>
      <c r="AN66" s="51"/>
      <c r="AO66" s="52">
        <f t="shared" si="38"/>
        <v>0</v>
      </c>
      <c r="AP66" s="51"/>
      <c r="AQ66" s="51"/>
      <c r="AR66" s="52">
        <f t="shared" si="39"/>
        <v>0</v>
      </c>
      <c r="AS66" s="51"/>
      <c r="AT66" s="51"/>
      <c r="AU66" s="52">
        <f t="shared" si="40"/>
        <v>0</v>
      </c>
      <c r="AV66" s="51"/>
      <c r="AW66" s="51"/>
      <c r="AX66" s="52">
        <f t="shared" si="41"/>
        <v>0</v>
      </c>
      <c r="AY66" s="51"/>
      <c r="AZ66" s="51"/>
      <c r="BA66" s="52">
        <f t="shared" si="42"/>
        <v>0</v>
      </c>
      <c r="BB66" s="51"/>
      <c r="BC66" s="51"/>
      <c r="BD66" s="52">
        <f t="shared" si="43"/>
        <v>0</v>
      </c>
      <c r="BE66" s="51"/>
      <c r="BF66" s="51"/>
      <c r="BG66" s="52">
        <f t="shared" si="44"/>
        <v>0</v>
      </c>
      <c r="BH66" s="51"/>
      <c r="BI66" s="51"/>
      <c r="BJ66" s="52">
        <f t="shared" si="45"/>
        <v>0</v>
      </c>
      <c r="BK66" s="51"/>
      <c r="BL66" s="51"/>
      <c r="BM66" s="52">
        <f t="shared" si="46"/>
        <v>0</v>
      </c>
      <c r="BN66" s="51"/>
      <c r="BO66" s="51"/>
      <c r="BP66" s="52">
        <f t="shared" si="47"/>
        <v>0</v>
      </c>
      <c r="BQ66" s="51"/>
      <c r="BR66" s="51"/>
      <c r="BS66" s="52">
        <f t="shared" si="48"/>
        <v>0</v>
      </c>
      <c r="BT66" s="51"/>
      <c r="BU66" s="51"/>
      <c r="BV66" s="52">
        <f t="shared" si="49"/>
        <v>0</v>
      </c>
      <c r="BW66" s="36">
        <f t="shared" si="23"/>
        <v>0</v>
      </c>
      <c r="BX66" s="36">
        <f t="shared" si="23"/>
        <v>0</v>
      </c>
      <c r="BY66" s="36">
        <f t="shared" si="24"/>
        <v>0</v>
      </c>
      <c r="BZ66" s="36">
        <f t="shared" si="25"/>
        <v>0</v>
      </c>
      <c r="CA66" s="36">
        <f t="shared" si="25"/>
        <v>0</v>
      </c>
      <c r="CB66" s="36">
        <f t="shared" si="26"/>
        <v>0</v>
      </c>
    </row>
    <row r="67" spans="1:82" s="44" customFormat="1" ht="12" outlineLevel="1" x14ac:dyDescent="0.2">
      <c r="A67" s="38"/>
      <c r="B67" s="39" t="s">
        <v>87</v>
      </c>
      <c r="C67" s="63"/>
      <c r="D67" s="63"/>
      <c r="E67" s="60">
        <f t="shared" si="22"/>
        <v>0</v>
      </c>
      <c r="F67" s="63"/>
      <c r="G67" s="63"/>
      <c r="H67" s="60">
        <f t="shared" si="28"/>
        <v>0</v>
      </c>
      <c r="I67" s="63"/>
      <c r="J67" s="63"/>
      <c r="K67" s="60">
        <f t="shared" si="29"/>
        <v>0</v>
      </c>
      <c r="L67" s="63"/>
      <c r="M67" s="63"/>
      <c r="N67" s="60">
        <f t="shared" si="50"/>
        <v>0</v>
      </c>
      <c r="O67" s="63"/>
      <c r="P67" s="63"/>
      <c r="Q67" s="60">
        <f t="shared" si="30"/>
        <v>0</v>
      </c>
      <c r="R67" s="63"/>
      <c r="S67" s="63"/>
      <c r="T67" s="60">
        <f t="shared" si="31"/>
        <v>0</v>
      </c>
      <c r="U67" s="63"/>
      <c r="V67" s="63"/>
      <c r="W67" s="60">
        <f t="shared" si="32"/>
        <v>0</v>
      </c>
      <c r="X67" s="63"/>
      <c r="Y67" s="63"/>
      <c r="Z67" s="60">
        <f t="shared" si="33"/>
        <v>0</v>
      </c>
      <c r="AA67" s="63"/>
      <c r="AB67" s="63"/>
      <c r="AC67" s="60">
        <f t="shared" si="34"/>
        <v>0</v>
      </c>
      <c r="AD67" s="63"/>
      <c r="AE67" s="63"/>
      <c r="AF67" s="60">
        <f t="shared" si="35"/>
        <v>0</v>
      </c>
      <c r="AG67" s="63"/>
      <c r="AH67" s="63"/>
      <c r="AI67" s="60">
        <f t="shared" si="36"/>
        <v>0</v>
      </c>
      <c r="AJ67" s="63"/>
      <c r="AK67" s="63"/>
      <c r="AL67" s="60">
        <f t="shared" si="37"/>
        <v>0</v>
      </c>
      <c r="AM67" s="63"/>
      <c r="AN67" s="63"/>
      <c r="AO67" s="60">
        <f t="shared" si="38"/>
        <v>0</v>
      </c>
      <c r="AP67" s="63"/>
      <c r="AQ67" s="63"/>
      <c r="AR67" s="60">
        <f t="shared" si="39"/>
        <v>0</v>
      </c>
      <c r="AS67" s="63"/>
      <c r="AT67" s="63"/>
      <c r="AU67" s="60">
        <f t="shared" si="40"/>
        <v>0</v>
      </c>
      <c r="AV67" s="63"/>
      <c r="AW67" s="63"/>
      <c r="AX67" s="60">
        <f t="shared" si="41"/>
        <v>0</v>
      </c>
      <c r="AY67" s="63"/>
      <c r="AZ67" s="63"/>
      <c r="BA67" s="60">
        <f t="shared" si="42"/>
        <v>0</v>
      </c>
      <c r="BB67" s="63"/>
      <c r="BC67" s="63"/>
      <c r="BD67" s="60">
        <f t="shared" si="43"/>
        <v>0</v>
      </c>
      <c r="BE67" s="63"/>
      <c r="BF67" s="63"/>
      <c r="BG67" s="60">
        <f t="shared" si="44"/>
        <v>0</v>
      </c>
      <c r="BH67" s="63"/>
      <c r="BI67" s="63"/>
      <c r="BJ67" s="60">
        <f t="shared" si="45"/>
        <v>0</v>
      </c>
      <c r="BK67" s="63"/>
      <c r="BL67" s="63"/>
      <c r="BM67" s="60">
        <f t="shared" si="46"/>
        <v>0</v>
      </c>
      <c r="BN67" s="63"/>
      <c r="BO67" s="63"/>
      <c r="BP67" s="60">
        <f t="shared" si="47"/>
        <v>0</v>
      </c>
      <c r="BQ67" s="63"/>
      <c r="BR67" s="63"/>
      <c r="BS67" s="60">
        <f t="shared" si="48"/>
        <v>0</v>
      </c>
      <c r="BT67" s="63"/>
      <c r="BU67" s="63"/>
      <c r="BV67" s="60">
        <f t="shared" si="49"/>
        <v>0</v>
      </c>
      <c r="BW67" s="43">
        <f t="shared" si="23"/>
        <v>0</v>
      </c>
      <c r="BX67" s="43">
        <f t="shared" si="23"/>
        <v>0</v>
      </c>
      <c r="BY67" s="43">
        <f t="shared" si="24"/>
        <v>0</v>
      </c>
      <c r="BZ67" s="43">
        <f t="shared" si="25"/>
        <v>0</v>
      </c>
      <c r="CA67" s="43">
        <f t="shared" si="25"/>
        <v>0</v>
      </c>
      <c r="CB67" s="43">
        <f t="shared" si="26"/>
        <v>0</v>
      </c>
    </row>
    <row r="68" spans="1:82" s="15" customFormat="1" outlineLevel="1" x14ac:dyDescent="0.2">
      <c r="A68" s="33">
        <v>331</v>
      </c>
      <c r="B68" s="49" t="s">
        <v>88</v>
      </c>
      <c r="C68" s="51"/>
      <c r="D68" s="51"/>
      <c r="E68" s="52">
        <f t="shared" si="22"/>
        <v>0</v>
      </c>
      <c r="F68" s="51"/>
      <c r="G68" s="51"/>
      <c r="H68" s="52">
        <f t="shared" si="28"/>
        <v>0</v>
      </c>
      <c r="I68" s="51"/>
      <c r="J68" s="51"/>
      <c r="K68" s="52">
        <f t="shared" si="29"/>
        <v>0</v>
      </c>
      <c r="L68" s="51"/>
      <c r="M68" s="51"/>
      <c r="N68" s="52">
        <f t="shared" si="50"/>
        <v>0</v>
      </c>
      <c r="O68" s="51"/>
      <c r="P68" s="51"/>
      <c r="Q68" s="52">
        <f t="shared" si="30"/>
        <v>0</v>
      </c>
      <c r="R68" s="51"/>
      <c r="S68" s="51"/>
      <c r="T68" s="52">
        <f t="shared" si="31"/>
        <v>0</v>
      </c>
      <c r="U68" s="51"/>
      <c r="V68" s="51"/>
      <c r="W68" s="52">
        <f t="shared" si="32"/>
        <v>0</v>
      </c>
      <c r="X68" s="51"/>
      <c r="Y68" s="51"/>
      <c r="Z68" s="52">
        <f t="shared" si="33"/>
        <v>0</v>
      </c>
      <c r="AA68" s="51"/>
      <c r="AB68" s="51"/>
      <c r="AC68" s="52">
        <f t="shared" si="34"/>
        <v>0</v>
      </c>
      <c r="AD68" s="51"/>
      <c r="AE68" s="51"/>
      <c r="AF68" s="52">
        <f t="shared" si="35"/>
        <v>0</v>
      </c>
      <c r="AG68" s="51"/>
      <c r="AH68" s="51"/>
      <c r="AI68" s="52">
        <f t="shared" si="36"/>
        <v>0</v>
      </c>
      <c r="AJ68" s="51"/>
      <c r="AK68" s="51"/>
      <c r="AL68" s="52">
        <f t="shared" si="37"/>
        <v>0</v>
      </c>
      <c r="AM68" s="51"/>
      <c r="AN68" s="51"/>
      <c r="AO68" s="52">
        <f t="shared" si="38"/>
        <v>0</v>
      </c>
      <c r="AP68" s="51"/>
      <c r="AQ68" s="51"/>
      <c r="AR68" s="52">
        <f t="shared" si="39"/>
        <v>0</v>
      </c>
      <c r="AS68" s="51"/>
      <c r="AT68" s="51"/>
      <c r="AU68" s="52">
        <f t="shared" si="40"/>
        <v>0</v>
      </c>
      <c r="AV68" s="51"/>
      <c r="AW68" s="51"/>
      <c r="AX68" s="52">
        <f t="shared" si="41"/>
        <v>0</v>
      </c>
      <c r="AY68" s="51"/>
      <c r="AZ68" s="51"/>
      <c r="BA68" s="52">
        <f t="shared" si="42"/>
        <v>0</v>
      </c>
      <c r="BB68" s="51"/>
      <c r="BC68" s="51"/>
      <c r="BD68" s="52">
        <f t="shared" si="43"/>
        <v>0</v>
      </c>
      <c r="BE68" s="51"/>
      <c r="BF68" s="51"/>
      <c r="BG68" s="52">
        <f t="shared" si="44"/>
        <v>0</v>
      </c>
      <c r="BH68" s="51"/>
      <c r="BI68" s="51"/>
      <c r="BJ68" s="52">
        <f t="shared" si="45"/>
        <v>0</v>
      </c>
      <c r="BK68" s="51"/>
      <c r="BL68" s="51"/>
      <c r="BM68" s="52">
        <f t="shared" si="46"/>
        <v>0</v>
      </c>
      <c r="BN68" s="51"/>
      <c r="BO68" s="51"/>
      <c r="BP68" s="52">
        <f t="shared" si="47"/>
        <v>0</v>
      </c>
      <c r="BQ68" s="51"/>
      <c r="BR68" s="51"/>
      <c r="BS68" s="52">
        <f t="shared" si="48"/>
        <v>0</v>
      </c>
      <c r="BT68" s="51"/>
      <c r="BU68" s="51"/>
      <c r="BV68" s="52">
        <f t="shared" si="49"/>
        <v>0</v>
      </c>
      <c r="BW68" s="36">
        <f t="shared" si="23"/>
        <v>0</v>
      </c>
      <c r="BX68" s="36">
        <f t="shared" si="23"/>
        <v>0</v>
      </c>
      <c r="BY68" s="36">
        <f t="shared" si="24"/>
        <v>0</v>
      </c>
      <c r="BZ68" s="36">
        <f t="shared" si="25"/>
        <v>0</v>
      </c>
      <c r="CA68" s="36">
        <f t="shared" si="25"/>
        <v>0</v>
      </c>
      <c r="CB68" s="36">
        <f t="shared" si="26"/>
        <v>0</v>
      </c>
    </row>
    <row r="69" spans="1:82" s="15" customFormat="1" outlineLevel="1" x14ac:dyDescent="0.2">
      <c r="A69" s="33">
        <v>332</v>
      </c>
      <c r="B69" s="49" t="s">
        <v>89</v>
      </c>
      <c r="C69" s="51"/>
      <c r="D69" s="51"/>
      <c r="E69" s="52">
        <f t="shared" si="22"/>
        <v>0</v>
      </c>
      <c r="F69" s="51"/>
      <c r="G69" s="51"/>
      <c r="H69" s="52">
        <f t="shared" si="28"/>
        <v>0</v>
      </c>
      <c r="I69" s="62"/>
      <c r="J69" s="51"/>
      <c r="K69" s="52">
        <f t="shared" si="29"/>
        <v>0</v>
      </c>
      <c r="L69" s="51"/>
      <c r="M69" s="51"/>
      <c r="N69" s="52"/>
      <c r="O69" s="51">
        <v>348840</v>
      </c>
      <c r="P69" s="51"/>
      <c r="Q69" s="52">
        <f t="shared" si="30"/>
        <v>348840</v>
      </c>
      <c r="R69" s="51"/>
      <c r="S69" s="51"/>
      <c r="T69" s="52">
        <f t="shared" si="31"/>
        <v>0</v>
      </c>
      <c r="U69" s="51">
        <f>1043514+2000</f>
        <v>1045514</v>
      </c>
      <c r="V69" s="51">
        <v>104952</v>
      </c>
      <c r="W69" s="52">
        <f t="shared" si="32"/>
        <v>1150466</v>
      </c>
      <c r="X69" s="51"/>
      <c r="Y69" s="51"/>
      <c r="Z69" s="52">
        <f t="shared" si="33"/>
        <v>0</v>
      </c>
      <c r="AA69" s="51"/>
      <c r="AB69" s="51"/>
      <c r="AC69" s="52">
        <f t="shared" si="34"/>
        <v>0</v>
      </c>
      <c r="AD69" s="51"/>
      <c r="AE69" s="51"/>
      <c r="AF69" s="52">
        <f t="shared" si="35"/>
        <v>0</v>
      </c>
      <c r="AG69" s="51"/>
      <c r="AH69" s="51">
        <v>100000</v>
      </c>
      <c r="AI69" s="52">
        <f t="shared" si="36"/>
        <v>100000</v>
      </c>
      <c r="AJ69" s="51"/>
      <c r="AK69" s="51"/>
      <c r="AL69" s="52">
        <f t="shared" si="37"/>
        <v>0</v>
      </c>
      <c r="AM69" s="51"/>
      <c r="AN69" s="51"/>
      <c r="AO69" s="52">
        <f t="shared" si="38"/>
        <v>0</v>
      </c>
      <c r="AP69" s="51"/>
      <c r="AQ69" s="51"/>
      <c r="AR69" s="52">
        <f t="shared" si="39"/>
        <v>0</v>
      </c>
      <c r="AS69" s="51">
        <f>53000</f>
        <v>53000</v>
      </c>
      <c r="AT69" s="51"/>
      <c r="AU69" s="52">
        <f t="shared" si="40"/>
        <v>53000</v>
      </c>
      <c r="AV69" s="51">
        <f>105000+470000</f>
        <v>575000</v>
      </c>
      <c r="AW69" s="51"/>
      <c r="AX69" s="52">
        <f t="shared" si="41"/>
        <v>575000</v>
      </c>
      <c r="AY69" s="51"/>
      <c r="AZ69" s="51"/>
      <c r="BA69" s="52">
        <f t="shared" si="42"/>
        <v>0</v>
      </c>
      <c r="BB69" s="51"/>
      <c r="BC69" s="51"/>
      <c r="BD69" s="52">
        <f t="shared" si="43"/>
        <v>0</v>
      </c>
      <c r="BE69" s="51"/>
      <c r="BF69" s="51"/>
      <c r="BG69" s="52">
        <f t="shared" si="44"/>
        <v>0</v>
      </c>
      <c r="BH69" s="51"/>
      <c r="BI69" s="51"/>
      <c r="BJ69" s="52">
        <f t="shared" si="45"/>
        <v>0</v>
      </c>
      <c r="BK69" s="51"/>
      <c r="BL69" s="51"/>
      <c r="BM69" s="52">
        <f t="shared" si="46"/>
        <v>0</v>
      </c>
      <c r="BN69" s="51"/>
      <c r="BO69" s="51"/>
      <c r="BP69" s="52">
        <f t="shared" si="47"/>
        <v>0</v>
      </c>
      <c r="BQ69" s="51"/>
      <c r="BR69" s="51"/>
      <c r="BS69" s="52">
        <f t="shared" si="48"/>
        <v>0</v>
      </c>
      <c r="BT69" s="51"/>
      <c r="BU69" s="51"/>
      <c r="BV69" s="52">
        <f t="shared" si="49"/>
        <v>0</v>
      </c>
      <c r="BW69" s="36">
        <f t="shared" si="23"/>
        <v>1447354</v>
      </c>
      <c r="BX69" s="36">
        <f t="shared" si="23"/>
        <v>204952</v>
      </c>
      <c r="BY69" s="36">
        <f t="shared" si="24"/>
        <v>1652306</v>
      </c>
      <c r="BZ69" s="36">
        <f t="shared" si="25"/>
        <v>575000</v>
      </c>
      <c r="CA69" s="36">
        <f t="shared" si="25"/>
        <v>0</v>
      </c>
      <c r="CB69" s="36">
        <f t="shared" si="26"/>
        <v>575000</v>
      </c>
    </row>
    <row r="70" spans="1:82" s="57" customFormat="1" x14ac:dyDescent="0.2">
      <c r="A70" s="53"/>
      <c r="B70" s="54" t="s">
        <v>45</v>
      </c>
      <c r="C70" s="55">
        <f>C32+C34+C35+C36+C38+C43+C44+C45+C46+C48+C50+C52+C53+C54+C55+C56+C57+C58+C61+C63+C65+C66+C68+C69</f>
        <v>0</v>
      </c>
      <c r="D70" s="55">
        <f>D32+D34+D36+D38+D43+D44+D45+D46+D48+D50+D52+D53+D54+D55+D56+D57+D58+D61+D63+D65+D66+D68+D69+D35</f>
        <v>0</v>
      </c>
      <c r="E70" s="55">
        <f t="shared" si="22"/>
        <v>0</v>
      </c>
      <c r="F70" s="55">
        <f>F32+F34+F35+F36+F38+F43+F44+F45+F46+F48+F50+F52+F53+F54+F55+F56+F57+F58+F61+F63+F65+F66+F68+F69</f>
        <v>0</v>
      </c>
      <c r="G70" s="55">
        <f>G32+G34+G36+G38+G43+G44+G45+G46+G48+G50+G52+G53+G54+G55+G56+G57+G58+G61+G63+G65+G66+G68+G69+G35</f>
        <v>0</v>
      </c>
      <c r="H70" s="55">
        <f t="shared" si="28"/>
        <v>0</v>
      </c>
      <c r="I70" s="55">
        <f>I32+I34+I35+I36+I38+I43+I44+I45+I46+I48+I50+I52+I53+I54+I55+I56+I57+I58+I61+I63+I65+I66+I68+I69</f>
        <v>0</v>
      </c>
      <c r="J70" s="55">
        <f>J32+J34+J36+J38+J43+J44+J45+J46+J48+J50+J52+J53+J54+J55+J56+J57+J58+J61+J63+J65+J66+J68+J69+J35</f>
        <v>0</v>
      </c>
      <c r="K70" s="55">
        <f t="shared" si="29"/>
        <v>0</v>
      </c>
      <c r="L70" s="55">
        <f>L32+L34+L35+L36+L38+L43+L44+L45+L46+L48+L50+L52+L53+L54+L55+L56+L57+L58+L61+L63+L65+L66+L68+L69</f>
        <v>0</v>
      </c>
      <c r="M70" s="55">
        <f>M32+M34+M36+M38+M43+M44+M45+M46+M48+M50+M52+M53+M54+M55+M56+M57+M58+M61+M63+M65+M66+M68+M69+M35</f>
        <v>0</v>
      </c>
      <c r="N70" s="55">
        <f t="shared" si="50"/>
        <v>0</v>
      </c>
      <c r="O70" s="55">
        <f>O32+O34+O35+O36+O38+O43+O44+O45+O46+O48+O50+O52+O53+O54+O55+O56+O57+O58+O61+O63+O65+O66+O68+O69</f>
        <v>2675739.64</v>
      </c>
      <c r="P70" s="55">
        <f>P32+P34+P36+P38+P43+P44+P45+P46+P48+P50+P52+P53+P54+P55+P56+P57+P58+P61+P63+P65+P66+P68+P69+P35</f>
        <v>157571</v>
      </c>
      <c r="Q70" s="55">
        <f t="shared" si="30"/>
        <v>2833310.64</v>
      </c>
      <c r="R70" s="55">
        <f>R32+R34+R35+R36+R38+R43+R44+R45+R46+R48+R50+R52+R53+R54+R55+R56+R57+R58+R61+R63+R65+R66+R68+R69</f>
        <v>1772728.75</v>
      </c>
      <c r="S70" s="55">
        <f>S32+S34+S36+S38+S43+S44+S45+S46+S48+S50+S52+S53+S54+S55+S56+S57+S58+S61+S63+S65+S66+S68+S69+S35</f>
        <v>0</v>
      </c>
      <c r="T70" s="55">
        <f t="shared" si="31"/>
        <v>1772728.75</v>
      </c>
      <c r="U70" s="55">
        <f>U32+U34+U35+U36+U38+U43+U44+U45+U46+U48+U50+U52+U53+U54+U55+U56+U57+U58+U61+U63+U65+U66+U68+U69</f>
        <v>2498004.61</v>
      </c>
      <c r="V70" s="55">
        <f>V32+V34+V36+V38+V43+V44+V45+V46+V48+V50+V52+V53+V54+V55+V56+V57+V58+V61+V63+V65+V66+V68+V69+V35</f>
        <v>355664</v>
      </c>
      <c r="W70" s="55">
        <f t="shared" si="32"/>
        <v>2853668.61</v>
      </c>
      <c r="X70" s="55">
        <f>X32+X34+X35+X36+X38+X43+X44+X45+X46+X48+X50+X52+X53+X54+X55+X56+X57+X58+X61+X63+X65+X66+X68+X69</f>
        <v>82643.350000000006</v>
      </c>
      <c r="Y70" s="55">
        <f>Y32+Y34+Y36+Y38+Y43+Y44+Y45+Y46+Y48+Y50+Y52+Y53+Y54+Y55+Y56+Y57+Y58+Y61+Y63+Y65+Y66+Y68+Y69+Y35</f>
        <v>0</v>
      </c>
      <c r="Z70" s="55">
        <f t="shared" si="33"/>
        <v>82643.350000000006</v>
      </c>
      <c r="AA70" s="55">
        <f>AA32+AA34+AA35+AA36+AA38+AA43+AA44+AA45+AA46+AA48+AA50+AA52+AA53+AA54+AA55+AA56+AA57+AA58+AA61+AA63+AA65+AA66+AA68+AA69</f>
        <v>1151965.75</v>
      </c>
      <c r="AB70" s="55">
        <f>AB32+AB34+AB36+AB38+AB43+AB44+AB45+AB46+AB48+AB50+AB52+AB53+AB54+AB55+AB56+AB57+AB58+AB61+AB63+AB65+AB66+AB68+AB69+AB35</f>
        <v>560219</v>
      </c>
      <c r="AC70" s="55">
        <f t="shared" si="34"/>
        <v>1712184.75</v>
      </c>
      <c r="AD70" s="55">
        <f>AD32+AD34+AD35+AD36+AD38+AD43+AD44+AD45+AD46+AD48+AD50+AD52+AD53+AD54+AD55+AD56+AD57+AD58+AD61+AD63+AD65+AD66+AD68+AD69</f>
        <v>3860.64</v>
      </c>
      <c r="AE70" s="55">
        <f>AE32+AE34+AE36+AE38+AE43+AE44+AE45+AE46+AE48+AE50+AE52+AE53+AE54+AE55+AE56+AE57+AE58+AE61+AE63+AE65+AE66+AE68+AE69+AE35</f>
        <v>0</v>
      </c>
      <c r="AF70" s="55">
        <f t="shared" si="35"/>
        <v>3860.64</v>
      </c>
      <c r="AG70" s="55">
        <f>AG32+AG34+AG35+AG36+AG38+AG43+AG44+AG45+AG46+AG48+AG50+AG52+AG53+AG54+AG55+AG56+AG57+AG58+AG61+AG63+AG65+AG66+AG68+AG69</f>
        <v>2903263.94</v>
      </c>
      <c r="AH70" s="55">
        <f>AH32+AH34+AH36+AH38+AH43+AH44+AH45+AH46+AH48+AH50+AH52+AH53+AH54+AH55+AH56+AH57+AH58+AH61+AH63+AH65+AH66+AH68+AH69+AH35</f>
        <v>715628</v>
      </c>
      <c r="AI70" s="55">
        <f t="shared" si="36"/>
        <v>3618891.94</v>
      </c>
      <c r="AJ70" s="55">
        <f>AJ32+AJ34+AJ35+AJ36+AJ38+AJ43+AJ44+AJ45+AJ46+AJ48+AJ50+AJ52+AJ53+AJ54+AJ55+AJ56+AJ57+AJ58+AJ61+AJ63+AJ65+AJ66+AJ68+AJ69</f>
        <v>1867271.8100000003</v>
      </c>
      <c r="AK70" s="55">
        <f>AK32+AK34+AK36+AK38+AK43+AK44+AK45+AK46+AK48+AK50+AK52+AK53+AK54+AK55+AK56+AK57+AK58+AK61+AK63+AK65+AK66+AK68+AK69+AK35</f>
        <v>0</v>
      </c>
      <c r="AL70" s="55">
        <f t="shared" si="37"/>
        <v>1867271.8100000003</v>
      </c>
      <c r="AM70" s="55">
        <f>AM32+AM34+AM35+AM36+AM38+AM43+AM44+AM45+AM46+AM48+AM50+AM52+AM53+AM54+AM55+AM56+AM57+AM58+AM61+AM63+AM65+AM66+AM68+AM69</f>
        <v>783339.73</v>
      </c>
      <c r="AN70" s="55">
        <f>AN32+AN34+AN36+AN38+AN43+AN44+AN45+AN46+AN48+AN50+AN52+AN53+AN54+AN55+AN56+AN57+AN58+AN61+AN63+AN65+AN66+AN68+AN69+AN35</f>
        <v>501370</v>
      </c>
      <c r="AO70" s="55">
        <f t="shared" si="38"/>
        <v>1284709.73</v>
      </c>
      <c r="AP70" s="55">
        <f>AP32+AP34+AP35+AP36+AP38+AP43+AP44+AP45+AP46+AP48+AP50+AP52+AP53+AP54+AP55+AP56+AP57+AP58+AP61+AP63+AP65+AP66+AP68+AP69</f>
        <v>80660</v>
      </c>
      <c r="AQ70" s="55">
        <f>AQ32+AQ34+AQ36+AQ38+AQ43+AQ44+AQ45+AQ46+AQ48+AQ50+AQ52+AQ53+AQ54+AQ55+AQ56+AQ57+AQ58+AQ61+AQ63+AQ65+AQ66+AQ68+AQ69+AQ35</f>
        <v>0</v>
      </c>
      <c r="AR70" s="55">
        <f t="shared" si="39"/>
        <v>80660</v>
      </c>
      <c r="AS70" s="55">
        <f>AS32+AS34+AS35+AS36+AS38+AS43+AS44+AS45+AS46+AS48+AS50+AS52+AS53+AS54+AS55+AS56+AS57+AS58+AS61+AS63+AS65+AS66+AS68+AS69</f>
        <v>789960.52999999991</v>
      </c>
      <c r="AT70" s="55">
        <f>AT32+AT34+AT36+AT38+AT43+AT44+AT45+AT46+AT48+AT50+AT52+AT53+AT54+AT55+AT56+AT57+AT58+AT61+AT63+AT65+AT66+AT68+AT69+AT35</f>
        <v>535540</v>
      </c>
      <c r="AU70" s="55">
        <f t="shared" si="40"/>
        <v>1325500.5299999998</v>
      </c>
      <c r="AV70" s="55">
        <f>AV32+AV34+AV35+AV36+AV38+AV43+AV44+AV45+AV46+AV48+AV50+AV52+AV53+AV54+AV55+AV56+AV57+AV58+AV61+AV63+AV65+AV66+AV68+AV69</f>
        <v>590178.5</v>
      </c>
      <c r="AW70" s="55">
        <f>AW32+AW34+AW36+AW38+AW43+AW44+AW45+AW46+AW48+AW50+AW52+AW53+AW54+AW55+AW56+AW57+AW58+AW61+AW63+AW65+AW66+AW68+AW69+AW35</f>
        <v>0</v>
      </c>
      <c r="AX70" s="55">
        <f t="shared" si="41"/>
        <v>590178.5</v>
      </c>
      <c r="AY70" s="55">
        <f>AY32+AY34+AY35+AY36+AY38+AY43+AY44+AY45+AY46+AY48+AY50+AY52+AY53+AY54+AY55+AY56+AY57+AY58+AY61+AY63+AY65+AY66+AY68+AY69</f>
        <v>13637.5</v>
      </c>
      <c r="AZ70" s="55">
        <f>AZ32+AZ34+AZ36+AZ38+AZ43+AZ44+AZ45+AZ46+AZ48+AZ50+AZ52+AZ53+AZ54+AZ55+AZ56+AZ57+AZ58+AZ61+AZ63+AZ65+AZ66+AZ68+AZ69+AZ35</f>
        <v>0</v>
      </c>
      <c r="BA70" s="55">
        <f t="shared" si="42"/>
        <v>13637.5</v>
      </c>
      <c r="BB70" s="55">
        <f>BB32+BB34+BB35+BB36+BB38+BB43+BB44+BB45+BB46+BB48+BB50+BB52+BB53+BB54+BB55+BB56+BB57+BB58+BB61+BB63+BB65+BB66+BB68+BB69</f>
        <v>13637.5</v>
      </c>
      <c r="BC70" s="55">
        <f>BC32+BC34+BC36+BC38+BC43+BC44+BC45+BC46+BC48+BC50+BC52+BC53+BC54+BC55+BC56+BC57+BC58+BC61+BC63+BC65+BC66+BC68+BC69+BC35</f>
        <v>0</v>
      </c>
      <c r="BD70" s="55">
        <f t="shared" si="43"/>
        <v>13637.5</v>
      </c>
      <c r="BE70" s="55">
        <f>BE32+BE34+BE35+BE36+BE38+BE43+BE44+BE45+BE46+BE48+BE50+BE52+BE53+BE54+BE55+BE56+BE57+BE58+BE61+BE63+BE65+BE66+BE68+BE69</f>
        <v>0</v>
      </c>
      <c r="BF70" s="55">
        <f>BF32+BF34+BF36+BF38+BF43+BF44+BF45+BF46+BF48+BF50+BF52+BF53+BF54+BF55+BF56+BF57+BF58+BF61+BF63+BF65+BF66+BF68+BF69+BF35</f>
        <v>0</v>
      </c>
      <c r="BG70" s="55">
        <f t="shared" si="44"/>
        <v>0</v>
      </c>
      <c r="BH70" s="55">
        <f>BH32+BH34+BH35+BH36+BH38+BH43+BH44+BH45+BH46+BH48+BH50+BH52+BH53+BH54+BH55+BH56+BH57+BH58+BH61+BH63+BH65+BH66+BH68+BH69</f>
        <v>0</v>
      </c>
      <c r="BI70" s="55">
        <f>BI32+BI34+BI36+BI38+BI43+BI44+BI45+BI46+BI48+BI50+BI52+BI53+BI54+BI55+BI56+BI57+BI58+BI61+BI63+BI65+BI66+BI68+BI69+BI35</f>
        <v>0</v>
      </c>
      <c r="BJ70" s="55">
        <f t="shared" si="45"/>
        <v>0</v>
      </c>
      <c r="BK70" s="55">
        <f>BK32+BK34+BK35+BK36+BK38+BK43+BK44+BK45+BK46+BK48+BK50+BK52+BK53+BK54+BK55+BK56+BK57+BK58+BK61+BK63+BK65+BK66+BK68+BK69</f>
        <v>0</v>
      </c>
      <c r="BL70" s="55">
        <f>BL32+BL34+BL36+BL38+BL43+BL44+BL45+BL46+BL48+BL50+BL52+BL53+BL54+BL55+BL56+BL57+BL58+BL61+BL63+BL65+BL66+BL68+BL69+BL35</f>
        <v>0</v>
      </c>
      <c r="BM70" s="55">
        <f t="shared" si="46"/>
        <v>0</v>
      </c>
      <c r="BN70" s="55">
        <f>BN32+BN34+BN35+BN36+BN38+BN43+BN44+BN45+BN46+BN48+BN50+BN52+BN53+BN54+BN55+BN56+BN57+BN58+BN61+BN63+BN65+BN66+BN68+BN69</f>
        <v>0</v>
      </c>
      <c r="BO70" s="55">
        <f>BO32+BO34+BO36+BO38+BO43+BO44+BO45+BO46+BO48+BO50+BO52+BO53+BO54+BO55+BO56+BO57+BO58+BO61+BO63+BO65+BO66+BO68+BO69+BO35</f>
        <v>0</v>
      </c>
      <c r="BP70" s="55">
        <f t="shared" si="47"/>
        <v>0</v>
      </c>
      <c r="BQ70" s="55">
        <f>BQ32+BQ34+BQ35+BQ36+BQ38+BQ43+BQ44+BQ45+BQ46+BQ48+BQ50+BQ52+BQ53+BQ54+BQ55+BQ56+BQ57+BQ58+BQ61+BQ63+BQ65+BQ66+BQ68+BQ69</f>
        <v>0</v>
      </c>
      <c r="BR70" s="55">
        <f>BR32+BR34+BR36+BR38+BR43+BR44+BR45+BR46+BR48+BR50+BR52+BR53+BR54+BR55+BR56+BR57+BR58+BR61+BR63+BR65+BR66+BR68+BR69+BR35</f>
        <v>0</v>
      </c>
      <c r="BS70" s="55">
        <f t="shared" si="48"/>
        <v>0</v>
      </c>
      <c r="BT70" s="55">
        <f>BT32+BT34+BT35+BT36+BT38+BT43+BT44+BT45+BT46+BT48+BT50+BT52+BT53+BT54+BT55+BT56+BT57+BT58+BT61+BT63+BT65+BT66+BT68+BT69</f>
        <v>0</v>
      </c>
      <c r="BU70" s="55">
        <f>BU32+BU34+BU36+BU38+BU43+BU44+BU45+BU46+BU48+BU50+BU52+BU53+BU54+BU55+BU56+BU57+BU58+BU61+BU63+BU65+BU66+BU68+BU69+BU35</f>
        <v>0</v>
      </c>
      <c r="BV70" s="55">
        <f t="shared" si="49"/>
        <v>0</v>
      </c>
      <c r="BW70" s="55">
        <f>BW32+BW34+BW35+BW36+BW38+BW43+BW44+BW45+BW46+BW48+BW50+BW52+BW53+BW54+BW55+BW56+BW57+BW58+BW61+BW63+BW65+BW66+BW68+BW69</f>
        <v>10815911.699999999</v>
      </c>
      <c r="BX70" s="55">
        <f>BX32+BX34+BX36+BX38+BX43+BX44+BX45+BX46+BX48+BX50+BX52+BX53+BX54+BX55+BX56+BX57+BX58+BX61+BX63+BX65+BX66+BX68+BX69+BX35</f>
        <v>2825992</v>
      </c>
      <c r="BY70" s="55">
        <f t="shared" si="24"/>
        <v>13641903.699999999</v>
      </c>
      <c r="BZ70" s="55">
        <f>BZ32+BZ34+BZ35+BZ36+BZ38+BZ43+BZ44+BZ45+BZ46+BZ48+BZ50+BZ52+BZ53+BZ54+BZ55+BZ56+BZ57+BZ58+BZ61+BZ63+BZ65+BZ66+BZ68+BZ69</f>
        <v>4410980.5500000007</v>
      </c>
      <c r="CA70" s="55">
        <f>CA32+CA34+CA36+CA38+CA43+CA44+CA45+CA46+CA48+CA50+CA52+CA53+CA54+CA55+CA56+CA57+CA58+CA61+CA63+CA65+CA66+CA68+CA69+CA35</f>
        <v>0</v>
      </c>
      <c r="CB70" s="55">
        <f t="shared" si="26"/>
        <v>4410980.5500000007</v>
      </c>
    </row>
    <row r="71" spans="1:82" s="15" customFormat="1" x14ac:dyDescent="0.2">
      <c r="A71" s="74"/>
      <c r="B71" s="74"/>
      <c r="C71" s="75"/>
      <c r="D71" s="75"/>
      <c r="E71" s="76"/>
      <c r="F71" s="76"/>
      <c r="G71" s="76"/>
      <c r="H71" s="76"/>
      <c r="I71" s="75"/>
      <c r="J71" s="75"/>
      <c r="K71" s="76"/>
      <c r="L71" s="76"/>
      <c r="M71" s="76"/>
      <c r="N71" s="76"/>
      <c r="O71" s="75"/>
      <c r="P71" s="75"/>
      <c r="Q71" s="76"/>
      <c r="R71" s="76"/>
      <c r="S71" s="76"/>
      <c r="T71" s="76"/>
      <c r="U71" s="75"/>
      <c r="V71" s="75"/>
      <c r="W71" s="76"/>
      <c r="X71" s="76"/>
      <c r="Y71" s="76"/>
      <c r="Z71" s="76"/>
      <c r="AA71" s="75"/>
      <c r="AB71" s="75"/>
      <c r="AC71" s="76"/>
      <c r="AD71" s="76"/>
      <c r="AE71" s="76"/>
      <c r="AF71" s="76"/>
      <c r="AG71" s="75"/>
      <c r="AH71" s="75"/>
      <c r="AI71" s="76"/>
      <c r="AJ71" s="76"/>
      <c r="AK71" s="76"/>
      <c r="AL71" s="76"/>
      <c r="AM71" s="75"/>
      <c r="AN71" s="75"/>
      <c r="AO71" s="76"/>
      <c r="AP71" s="76"/>
      <c r="AQ71" s="76"/>
      <c r="AR71" s="76"/>
      <c r="AS71" s="75"/>
      <c r="AT71" s="75"/>
      <c r="AU71" s="76"/>
      <c r="AV71" s="76"/>
      <c r="AW71" s="76"/>
      <c r="AX71" s="76"/>
      <c r="AY71" s="75"/>
      <c r="AZ71" s="75"/>
      <c r="BA71" s="76"/>
      <c r="BB71" s="76"/>
      <c r="BC71" s="76"/>
      <c r="BD71" s="76"/>
      <c r="BE71" s="75"/>
      <c r="BF71" s="75"/>
      <c r="BG71" s="76"/>
      <c r="BH71" s="76"/>
      <c r="BI71" s="76"/>
      <c r="BJ71" s="76"/>
      <c r="BK71" s="75"/>
      <c r="BL71" s="75"/>
      <c r="BM71" s="76"/>
      <c r="BN71" s="76"/>
      <c r="BO71" s="76"/>
      <c r="BP71" s="76"/>
      <c r="BQ71" s="75"/>
      <c r="BR71" s="75"/>
      <c r="BS71" s="76"/>
      <c r="BT71" s="76"/>
      <c r="BU71" s="76"/>
      <c r="BV71" s="76"/>
      <c r="BW71" s="36"/>
      <c r="BX71" s="36"/>
      <c r="BY71" s="36"/>
      <c r="BZ71" s="36"/>
      <c r="CA71" s="36"/>
      <c r="CB71" s="36"/>
    </row>
    <row r="72" spans="1:82" s="80" customFormat="1" ht="15" x14ac:dyDescent="0.2">
      <c r="A72" s="77"/>
      <c r="B72" s="29" t="s">
        <v>90</v>
      </c>
      <c r="C72" s="78">
        <f>C8+C30-C70</f>
        <v>0</v>
      </c>
      <c r="D72" s="78">
        <f>D8+D30-D70</f>
        <v>0</v>
      </c>
      <c r="E72" s="78">
        <f>C72+D72</f>
        <v>0</v>
      </c>
      <c r="F72" s="78">
        <f>F8+F30-F70</f>
        <v>0</v>
      </c>
      <c r="G72" s="78">
        <f>G8+G30-G70</f>
        <v>0</v>
      </c>
      <c r="H72" s="78">
        <f>F72+G72</f>
        <v>0</v>
      </c>
      <c r="I72" s="78">
        <f>I8+I30-I70</f>
        <v>6935.1499999997322</v>
      </c>
      <c r="J72" s="78">
        <f>J8+J30-J70</f>
        <v>70184</v>
      </c>
      <c r="K72" s="78">
        <f>I72+J72</f>
        <v>77119.149999999732</v>
      </c>
      <c r="L72" s="78">
        <f>L8+L30-L70</f>
        <v>0</v>
      </c>
      <c r="M72" s="78">
        <f>M8+M30-M70</f>
        <v>0</v>
      </c>
      <c r="N72" s="78">
        <f>L72+M72</f>
        <v>0</v>
      </c>
      <c r="O72" s="78">
        <f>O8+O30-O70</f>
        <v>39848.119999998715</v>
      </c>
      <c r="P72" s="78">
        <f>P8+P30-P70</f>
        <v>178576</v>
      </c>
      <c r="Q72" s="78">
        <f>O72+P72</f>
        <v>218424.11999999871</v>
      </c>
      <c r="R72" s="78">
        <f>R8+R30-R70</f>
        <v>24271.25</v>
      </c>
      <c r="S72" s="78">
        <f>S8+S30-S70</f>
        <v>0</v>
      </c>
      <c r="T72" s="78">
        <f>R72+S72</f>
        <v>24271.25</v>
      </c>
      <c r="U72" s="78">
        <f>U8+U30-U70</f>
        <v>260561.94999999879</v>
      </c>
      <c r="V72" s="78">
        <f>V8+V30-V70</f>
        <v>189694</v>
      </c>
      <c r="W72" s="78">
        <f>U72+V72</f>
        <v>450255.94999999879</v>
      </c>
      <c r="X72" s="78">
        <f>X8+X30-X70</f>
        <v>10227.899999999994</v>
      </c>
      <c r="Y72" s="78">
        <f>Y8+Y30-Y70</f>
        <v>0</v>
      </c>
      <c r="Z72" s="78">
        <f>X72+Y72</f>
        <v>10227.899999999994</v>
      </c>
      <c r="AA72" s="78">
        <f>AA8+AA30-AA70</f>
        <v>-4144.8799999998882</v>
      </c>
      <c r="AB72" s="78">
        <f>AB8+AB30-AB70</f>
        <v>157311</v>
      </c>
      <c r="AC72" s="78">
        <f>AA72+AB72</f>
        <v>153166.12000000011</v>
      </c>
      <c r="AD72" s="78">
        <f>AD8+AD30-AD70</f>
        <v>6367.2599999999948</v>
      </c>
      <c r="AE72" s="78">
        <f>AE8+AE30-AE70</f>
        <v>0</v>
      </c>
      <c r="AF72" s="78">
        <f>AD72+AE72</f>
        <v>6367.2599999999948</v>
      </c>
      <c r="AG72" s="78">
        <f>AG8+AG30-AG70</f>
        <v>-4230.6099999998696</v>
      </c>
      <c r="AH72" s="78">
        <f>AH8+AH30-AH70</f>
        <v>-53250</v>
      </c>
      <c r="AI72" s="78">
        <f>AG72+AH72</f>
        <v>-57480.60999999987</v>
      </c>
      <c r="AJ72" s="78">
        <f>AJ8+AJ30-AJ70</f>
        <v>96095.449999999721</v>
      </c>
      <c r="AK72" s="78">
        <f>AK8+AK30-AK70</f>
        <v>0</v>
      </c>
      <c r="AL72" s="78">
        <f>AJ72+AK72</f>
        <v>96095.449999999721</v>
      </c>
      <c r="AM72" s="78">
        <f>AM8+AM30-AM70</f>
        <v>412905.85999999987</v>
      </c>
      <c r="AN72" s="78">
        <f>AN8+AN30-AN70</f>
        <v>-269995</v>
      </c>
      <c r="AO72" s="78">
        <f>AM72+AN72</f>
        <v>142910.85999999987</v>
      </c>
      <c r="AP72" s="78">
        <f>AP8+AP30-AP70</f>
        <v>65435.449999999721</v>
      </c>
      <c r="AQ72" s="78">
        <f>AQ8+AQ30-AQ70</f>
        <v>0</v>
      </c>
      <c r="AR72" s="78">
        <f>AP72+AQ72</f>
        <v>65435.449999999721</v>
      </c>
      <c r="AS72" s="78">
        <f>AS8+AS30-AS70</f>
        <v>-456428.8299999999</v>
      </c>
      <c r="AT72" s="78">
        <f>AT8+AT30-AT70</f>
        <v>-128448</v>
      </c>
      <c r="AU72" s="78">
        <f>AS72+AT72</f>
        <v>-584876.82999999984</v>
      </c>
      <c r="AV72" s="78">
        <f>AV8+AV30-AV70</f>
        <v>3956.9499999997206</v>
      </c>
      <c r="AW72" s="78">
        <f>AW8+AW30-AW70</f>
        <v>0</v>
      </c>
      <c r="AX72" s="78">
        <f>AV72+AW72</f>
        <v>3956.9499999997206</v>
      </c>
      <c r="AY72" s="78">
        <f>AY8+AY30-AY70</f>
        <v>203062.5</v>
      </c>
      <c r="AZ72" s="78">
        <f>AZ8+AZ30-AZ70</f>
        <v>0</v>
      </c>
      <c r="BA72" s="78">
        <f>AY72+AZ72</f>
        <v>203062.5</v>
      </c>
      <c r="BB72" s="78">
        <f>BB8+BB30-BB70</f>
        <v>207019.44999999972</v>
      </c>
      <c r="BC72" s="78">
        <f>BC8+BC30-BC70</f>
        <v>0</v>
      </c>
      <c r="BD72" s="78">
        <f>BB72+BC72</f>
        <v>207019.44999999972</v>
      </c>
      <c r="BE72" s="78">
        <f>BE8+BE30-BE70</f>
        <v>0</v>
      </c>
      <c r="BF72" s="78">
        <f>BF8+BF30-BF70</f>
        <v>0</v>
      </c>
      <c r="BG72" s="78">
        <f>BE72+BF72</f>
        <v>0</v>
      </c>
      <c r="BH72" s="78">
        <f>BH8+BH30-BH70</f>
        <v>207019.44999999972</v>
      </c>
      <c r="BI72" s="78">
        <f>BI8+BI30-BI70</f>
        <v>0</v>
      </c>
      <c r="BJ72" s="78">
        <f>BH72+BI72</f>
        <v>207019.44999999972</v>
      </c>
      <c r="BK72" s="78">
        <f>BK8+BK30-BK70</f>
        <v>0</v>
      </c>
      <c r="BL72" s="78">
        <f>BL8+BL30-BL70</f>
        <v>0</v>
      </c>
      <c r="BM72" s="78">
        <f>BK72+BL72</f>
        <v>0</v>
      </c>
      <c r="BN72" s="78">
        <f>BN8+BN30-BN70</f>
        <v>207019.44999999972</v>
      </c>
      <c r="BO72" s="78">
        <f>BO8+BO30-BO70</f>
        <v>0</v>
      </c>
      <c r="BP72" s="78">
        <f>BN72+BO72</f>
        <v>207019.44999999972</v>
      </c>
      <c r="BQ72" s="78">
        <f>BQ8+BQ30-BQ70</f>
        <v>0</v>
      </c>
      <c r="BR72" s="78">
        <f>BR8+BR30-BR70</f>
        <v>0</v>
      </c>
      <c r="BS72" s="78">
        <f>BQ72+BR72</f>
        <v>0</v>
      </c>
      <c r="BT72" s="78">
        <f>BT8+BT30-BT70</f>
        <v>207019.44999999972</v>
      </c>
      <c r="BU72" s="78">
        <f>BU8+BU30-BU70</f>
        <v>0</v>
      </c>
      <c r="BV72" s="78">
        <f>BT72+BU72</f>
        <v>207019.44999999972</v>
      </c>
      <c r="BW72" s="79">
        <f>BW8+BW30-BW70</f>
        <v>144243.78000000119</v>
      </c>
      <c r="BX72" s="79">
        <f>BX8+BX30-BX70</f>
        <v>5751</v>
      </c>
      <c r="BY72" s="79">
        <f>BW72+BX72</f>
        <v>149994.78000000119</v>
      </c>
      <c r="BZ72" s="79">
        <f>BZ8+BZ30-BZ70</f>
        <v>207019.44999999925</v>
      </c>
      <c r="CA72" s="79">
        <f>CA8+CA30-CA70</f>
        <v>0</v>
      </c>
      <c r="CB72" s="79">
        <f>BZ72+CA72</f>
        <v>207019.44999999925</v>
      </c>
    </row>
    <row r="73" spans="1:82" s="15" customFormat="1" x14ac:dyDescent="0.2">
      <c r="A73" s="81"/>
      <c r="B73" s="82"/>
      <c r="C73" s="6"/>
      <c r="D73" s="6"/>
      <c r="E73" s="6"/>
      <c r="F73" s="6"/>
      <c r="G73" s="6"/>
      <c r="H73" s="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</row>
    <row r="74" spans="1:82" s="15" customFormat="1" x14ac:dyDescent="0.2">
      <c r="A74" s="81"/>
      <c r="B74" s="82"/>
      <c r="C74" s="6"/>
      <c r="D74" s="6"/>
      <c r="E74" s="6"/>
      <c r="F74" s="6"/>
      <c r="G74" s="6"/>
      <c r="H74" s="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</row>
    <row r="75" spans="1:82" s="15" customFormat="1" x14ac:dyDescent="0.2">
      <c r="A75" s="81"/>
      <c r="B75" s="82"/>
      <c r="C75" s="6"/>
      <c r="D75" s="6"/>
      <c r="E75" s="6"/>
      <c r="F75" s="6"/>
      <c r="G75" s="6"/>
      <c r="H75" s="6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11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D75" s="85"/>
    </row>
    <row r="76" spans="1:82" s="15" customFormat="1" x14ac:dyDescent="0.2">
      <c r="A76" s="81"/>
      <c r="B76" s="82"/>
      <c r="C76" s="6"/>
      <c r="D76" s="6"/>
      <c r="E76" s="6"/>
      <c r="F76" s="6"/>
      <c r="G76" s="6"/>
      <c r="H76" s="6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11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</row>
    <row r="77" spans="1:82" s="15" customFormat="1" x14ac:dyDescent="0.2">
      <c r="A77" s="81"/>
      <c r="B77" s="82"/>
      <c r="C77" s="6"/>
      <c r="D77" s="6"/>
      <c r="E77" s="6"/>
      <c r="F77" s="6"/>
      <c r="G77" s="6"/>
      <c r="H77" s="6"/>
      <c r="I77" s="5"/>
      <c r="J77" s="5"/>
      <c r="K77" s="5"/>
      <c r="L77" s="5"/>
      <c r="M77" s="5"/>
      <c r="N77" s="5"/>
      <c r="O77" s="5"/>
      <c r="P77" s="11">
        <f>P72-P8</f>
        <v>110439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11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</row>
  </sheetData>
  <mergeCells count="52">
    <mergeCell ref="AJ7:AL7"/>
    <mergeCell ref="C7:E7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  <mergeCell ref="BT7:BV7"/>
    <mergeCell ref="AM7:AO7"/>
    <mergeCell ref="AP7:AR7"/>
    <mergeCell ref="AS7:AU7"/>
    <mergeCell ref="AV7:AX7"/>
    <mergeCell ref="AY7:BA7"/>
    <mergeCell ref="BB7:BD7"/>
    <mergeCell ref="AP9:AR9"/>
    <mergeCell ref="BW7:BY7"/>
    <mergeCell ref="BZ7:CB7"/>
    <mergeCell ref="C9:E9"/>
    <mergeCell ref="F9:H9"/>
    <mergeCell ref="I9:K9"/>
    <mergeCell ref="L9:N9"/>
    <mergeCell ref="O9:Q9"/>
    <mergeCell ref="R9:T9"/>
    <mergeCell ref="U9:W9"/>
    <mergeCell ref="X9:Z9"/>
    <mergeCell ref="BE7:BG7"/>
    <mergeCell ref="BH7:BJ7"/>
    <mergeCell ref="BK7:BM7"/>
    <mergeCell ref="BN7:BP7"/>
    <mergeCell ref="BQ7:BS7"/>
    <mergeCell ref="AA9:AC9"/>
    <mergeCell ref="AD9:AF9"/>
    <mergeCell ref="AG9:AI9"/>
    <mergeCell ref="AJ9:AL9"/>
    <mergeCell ref="AM9:AO9"/>
    <mergeCell ref="BZ9:CB9"/>
    <mergeCell ref="AS9:AU9"/>
    <mergeCell ref="AV9:AX9"/>
    <mergeCell ref="AY9:BA9"/>
    <mergeCell ref="BB9:BD9"/>
    <mergeCell ref="BE9:BG9"/>
    <mergeCell ref="BH9:BJ9"/>
    <mergeCell ref="BK9:BM9"/>
    <mergeCell ref="BN9:BP9"/>
    <mergeCell ref="BQ9:BS9"/>
    <mergeCell ref="BT9:BV9"/>
    <mergeCell ref="BW9:BY9"/>
  </mergeCells>
  <conditionalFormatting sqref="B5 A1:A77 E75:H77 C1:H6 B8:D77 I75:CB76 E70:CB74 E12:E69 BU12:CB69 E8:CB11 G12:K69 T36:W69 T34:T35 V34:W35 AR12:AU69 AX12:BS69 N12:Q69 T12:W33 Z12:AC69 AF12:AI69 AL12:AO69">
    <cfRule type="expression" dxfId="74" priority="61" stopIfTrue="1">
      <formula>ISERROR($C$12:$E$73)=TRUE</formula>
    </cfRule>
  </conditionalFormatting>
  <conditionalFormatting sqref="B5 A1:A77 D7 C1:H6 G7 I8:I72 J7:J72 K8:L11 M7:M11 N8:O72 P7:P72 Q8:R11 T8:U33 V7:V72 W8:X11 Z8:AA72 AC8:AD11 AF8:AG72 AH7:AH72 AI8:AJ11 AL8:AM72 AN7:AN72 AO8:AP11 AR8:AS72 AT7:AT72 AU8:AV11 AX8:AY72 AZ7:AZ72 BA8:BB72 BC7:BC72 BD8:BE72 BF7:BF72 BG8:BH72 BJ8:BK72 BL7:BL72 BO7:BO72 BP8:BQ72 BR7:BR72 BV8:BW72 BX7:BX72 BY8:BZ72 CA7:CA72 CB8:CB72 BM8:BN72 BI7:BI72 BU7:BU72 BS8:BT11 BS70:BT72 BS12:BS69 B8:H11 B70:H77 B12:E69 G12:H69 S7:S11 T36:U72 T34:T35 Y7:Y11 AB7:AB72 AE7:AE11 AK7:AK11 AO12:AO69 AQ7:AQ11 AU12:AU69 AW7:AW11 K70:M72 K12:K69 Q70:S72 Q12:Q69 W70:Y72 W12:W69 AC70:AE72 AC12:AC69 AI70:AK72 AI12:AI69 AO70:AQ72 AU70:AW72">
    <cfRule type="expression" dxfId="73" priority="60" stopIfTrue="1">
      <formula>ISERROR($C$12:$E$69)=TRUE</formula>
    </cfRule>
  </conditionalFormatting>
  <conditionalFormatting sqref="BT12:BT15 BT17:BT69">
    <cfRule type="expression" dxfId="72" priority="59" stopIfTrue="1">
      <formula>ISERROR($C$12:$E$73)=TRUE</formula>
    </cfRule>
  </conditionalFormatting>
  <conditionalFormatting sqref="BT12:BT15 BT17:BT69">
    <cfRule type="expression" dxfId="71" priority="58" stopIfTrue="1">
      <formula>ISERROR($C$12:$E$69)=TRUE</formula>
    </cfRule>
  </conditionalFormatting>
  <conditionalFormatting sqref="BT16">
    <cfRule type="expression" dxfId="70" priority="57" stopIfTrue="1">
      <formula>ISERROR(BT16)=TRUE</formula>
    </cfRule>
  </conditionalFormatting>
  <conditionalFormatting sqref="F12:F69">
    <cfRule type="expression" dxfId="69" priority="56" stopIfTrue="1">
      <formula>ISERROR($C$12:$E$73)=TRUE</formula>
    </cfRule>
  </conditionalFormatting>
  <conditionalFormatting sqref="F12:F69">
    <cfRule type="expression" dxfId="68" priority="55" stopIfTrue="1">
      <formula>ISERROR($C$12:$E$69)=TRUE</formula>
    </cfRule>
  </conditionalFormatting>
  <conditionalFormatting sqref="U34:U35">
    <cfRule type="expression" dxfId="67" priority="42" stopIfTrue="1">
      <formula>ISERROR($C$12:$E$73)=TRUE</formula>
    </cfRule>
  </conditionalFormatting>
  <conditionalFormatting sqref="U34:U35">
    <cfRule type="expression" dxfId="66" priority="41" stopIfTrue="1">
      <formula>ISERROR($C$12:$E$69)=TRUE</formula>
    </cfRule>
  </conditionalFormatting>
  <conditionalFormatting sqref="M12:M69">
    <cfRule type="expression" dxfId="65" priority="30" stopIfTrue="1">
      <formula>ISERROR($C$12:$E$73)=TRUE</formula>
    </cfRule>
  </conditionalFormatting>
  <conditionalFormatting sqref="M12:M69">
    <cfRule type="expression" dxfId="64" priority="29" stopIfTrue="1">
      <formula>ISERROR($C$12:$E$69)=TRUE</formula>
    </cfRule>
  </conditionalFormatting>
  <conditionalFormatting sqref="L12:L69">
    <cfRule type="expression" dxfId="63" priority="28" stopIfTrue="1">
      <formula>ISERROR($C$12:$E$73)=TRUE</formula>
    </cfRule>
  </conditionalFormatting>
  <conditionalFormatting sqref="L12:L69">
    <cfRule type="expression" dxfId="62" priority="27" stopIfTrue="1">
      <formula>ISERROR($C$12:$E$69)=TRUE</formula>
    </cfRule>
  </conditionalFormatting>
  <conditionalFormatting sqref="S12:S69">
    <cfRule type="expression" dxfId="61" priority="26" stopIfTrue="1">
      <formula>ISERROR($C$12:$E$73)=TRUE</formula>
    </cfRule>
  </conditionalFormatting>
  <conditionalFormatting sqref="S12:S69">
    <cfRule type="expression" dxfId="60" priority="25" stopIfTrue="1">
      <formula>ISERROR($C$12:$E$69)=TRUE</formula>
    </cfRule>
  </conditionalFormatting>
  <conditionalFormatting sqref="R12:R69">
    <cfRule type="expression" dxfId="59" priority="24" stopIfTrue="1">
      <formula>ISERROR($C$12:$E$73)=TRUE</formula>
    </cfRule>
  </conditionalFormatting>
  <conditionalFormatting sqref="R12:R69">
    <cfRule type="expression" dxfId="58" priority="23" stopIfTrue="1">
      <formula>ISERROR($C$12:$E$69)=TRUE</formula>
    </cfRule>
  </conditionalFormatting>
  <conditionalFormatting sqref="Y12:Y69">
    <cfRule type="expression" dxfId="57" priority="22" stopIfTrue="1">
      <formula>ISERROR($C$12:$E$73)=TRUE</formula>
    </cfRule>
  </conditionalFormatting>
  <conditionalFormatting sqref="Y12:Y69">
    <cfRule type="expression" dxfId="56" priority="21" stopIfTrue="1">
      <formula>ISERROR($C$12:$E$69)=TRUE</formula>
    </cfRule>
  </conditionalFormatting>
  <conditionalFormatting sqref="X12:X69">
    <cfRule type="expression" dxfId="55" priority="20" stopIfTrue="1">
      <formula>ISERROR($C$12:$E$73)=TRUE</formula>
    </cfRule>
  </conditionalFormatting>
  <conditionalFormatting sqref="X12:X69">
    <cfRule type="expression" dxfId="54" priority="19" stopIfTrue="1">
      <formula>ISERROR($C$12:$E$69)=TRUE</formula>
    </cfRule>
  </conditionalFormatting>
  <conditionalFormatting sqref="AE12:AE69">
    <cfRule type="expression" dxfId="53" priority="18" stopIfTrue="1">
      <formula>ISERROR($C$12:$E$73)=TRUE</formula>
    </cfRule>
  </conditionalFormatting>
  <conditionalFormatting sqref="AE12:AE69">
    <cfRule type="expression" dxfId="52" priority="17" stopIfTrue="1">
      <formula>ISERROR($C$12:$E$69)=TRUE</formula>
    </cfRule>
  </conditionalFormatting>
  <conditionalFormatting sqref="AD12:AD53 AD57:AD69">
    <cfRule type="expression" dxfId="51" priority="16" stopIfTrue="1">
      <formula>ISERROR($C$12:$E$73)=TRUE</formula>
    </cfRule>
  </conditionalFormatting>
  <conditionalFormatting sqref="AD12:AD53 AD57:AD69">
    <cfRule type="expression" dxfId="50" priority="15" stopIfTrue="1">
      <formula>ISERROR($C$12:$E$69)=TRUE</formula>
    </cfRule>
  </conditionalFormatting>
  <conditionalFormatting sqref="AK12:AK69">
    <cfRule type="expression" dxfId="49" priority="14" stopIfTrue="1">
      <formula>ISERROR($C$12:$E$73)=TRUE</formula>
    </cfRule>
  </conditionalFormatting>
  <conditionalFormatting sqref="AK12:AK69">
    <cfRule type="expression" dxfId="48" priority="13" stopIfTrue="1">
      <formula>ISERROR($C$12:$E$69)=TRUE</formula>
    </cfRule>
  </conditionalFormatting>
  <conditionalFormatting sqref="AJ12:AJ69">
    <cfRule type="expression" dxfId="47" priority="12" stopIfTrue="1">
      <formula>ISERROR($C$12:$E$73)=TRUE</formula>
    </cfRule>
  </conditionalFormatting>
  <conditionalFormatting sqref="AJ12:AJ69">
    <cfRule type="expression" dxfId="46" priority="11" stopIfTrue="1">
      <formula>ISERROR($C$12:$E$69)=TRUE</formula>
    </cfRule>
  </conditionalFormatting>
  <conditionalFormatting sqref="AQ12:AQ69">
    <cfRule type="expression" dxfId="45" priority="10" stopIfTrue="1">
      <formula>ISERROR($C$12:$E$73)=TRUE</formula>
    </cfRule>
  </conditionalFormatting>
  <conditionalFormatting sqref="AQ12:AQ69">
    <cfRule type="expression" dxfId="44" priority="9" stopIfTrue="1">
      <formula>ISERROR($C$12:$E$69)=TRUE</formula>
    </cfRule>
  </conditionalFormatting>
  <conditionalFormatting sqref="AP12:AP69">
    <cfRule type="expression" dxfId="43" priority="8" stopIfTrue="1">
      <formula>ISERROR($C$12:$E$73)=TRUE</formula>
    </cfRule>
  </conditionalFormatting>
  <conditionalFormatting sqref="AP12:AP69">
    <cfRule type="expression" dxfId="42" priority="7" stopIfTrue="1">
      <formula>ISERROR($C$12:$E$69)=TRUE</formula>
    </cfRule>
  </conditionalFormatting>
  <conditionalFormatting sqref="AW12:AW69">
    <cfRule type="expression" dxfId="41" priority="6" stopIfTrue="1">
      <formula>ISERROR($C$12:$E$73)=TRUE</formula>
    </cfRule>
  </conditionalFormatting>
  <conditionalFormatting sqref="AW12:AW69">
    <cfRule type="expression" dxfId="40" priority="5" stopIfTrue="1">
      <formula>ISERROR($C$12:$E$69)=TRUE</formula>
    </cfRule>
  </conditionalFormatting>
  <conditionalFormatting sqref="AV12:AV69">
    <cfRule type="expression" dxfId="39" priority="4" stopIfTrue="1">
      <formula>ISERROR($C$12:$E$73)=TRUE</formula>
    </cfRule>
  </conditionalFormatting>
  <conditionalFormatting sqref="AV12:AV69">
    <cfRule type="expression" dxfId="38" priority="3" stopIfTrue="1">
      <formula>ISERROR($C$12:$E$69)=TRUE</formula>
    </cfRule>
  </conditionalFormatting>
  <conditionalFormatting sqref="AD54:AD56">
    <cfRule type="expression" dxfId="37" priority="2" stopIfTrue="1">
      <formula>ISERROR($C$12:$E$73)=TRUE</formula>
    </cfRule>
  </conditionalFormatting>
  <conditionalFormatting sqref="AD54:AD56">
    <cfRule type="expression" dxfId="36" priority="1" stopIfTrue="1">
      <formula>ISERROR($C$12:$E$69)=TRUE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Заг.</vt:lpstr>
      <vt:lpstr>Солар Вест</vt:lpstr>
      <vt:lpstr>Будник</vt:lpstr>
      <vt:lpstr>'Солар Вест'!Print_Area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2025-07-01T14:34:55Z</cp:lastPrinted>
  <dcterms:created xsi:type="dcterms:W3CDTF">2025-01-02T08:53:51Z</dcterms:created>
  <dcterms:modified xsi:type="dcterms:W3CDTF">2025-11-04T13:53:30Z</dcterms:modified>
</cp:coreProperties>
</file>