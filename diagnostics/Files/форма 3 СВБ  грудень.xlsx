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Звітність 2024\Грудень\"/>
    </mc:Choice>
  </mc:AlternateContent>
  <bookViews>
    <workbookView xWindow="0" yWindow="0" windowWidth="19200" windowHeight="11475"/>
  </bookViews>
  <sheets>
    <sheet name="FORMA_3" sheetId="1" r:id="rId1"/>
  </sheets>
  <externalReferences>
    <externalReference r:id="rId2"/>
    <externalReference r:id="rId3"/>
    <externalReference r:id="rId4"/>
    <externalReference r:id="rId5"/>
  </externalReferences>
  <definedNames>
    <definedName name="_1Excel_BuiltIn_Database_1_1">#REF!</definedName>
    <definedName name="_2Excel_BuiltIn_Print_Area_5_1">#REF!</definedName>
    <definedName name="_Hlk156713282_5">#REF!</definedName>
    <definedName name="Database" hidden="1">#REF!</definedName>
    <definedName name="Drage">#REF!</definedName>
    <definedName name="Drage_14">#REF!</definedName>
    <definedName name="Drage_2">#REF!</definedName>
    <definedName name="Drage_3">#REF!</definedName>
    <definedName name="Drage_6">#REF!</definedName>
    <definedName name="Drage_6_14">#REF!</definedName>
    <definedName name="Excel_BuiltIn__FilterDatabase_1">#REF!</definedName>
    <definedName name="Excel_BuiltIn__FilterDatabase_1_1">#REF!</definedName>
    <definedName name="Excel_BuiltIn__FilterDatabase_5">#REF!</definedName>
    <definedName name="Excel_BuiltIn__FilterDatabase_5_1">#REF!</definedName>
    <definedName name="Excel_BuiltIn__FilterDatabase_5_6">#REF!</definedName>
    <definedName name="Excel_BuiltIn_Database">#REF!</definedName>
    <definedName name="Excel_BuiltIn_Database_1">#REF!</definedName>
    <definedName name="Excel_BuiltIn_Database_2">#REF!</definedName>
    <definedName name="Excel_BuiltIn_Database_3">#REF!</definedName>
    <definedName name="Excel_BuiltIn_Print_Area_18">#REF!</definedName>
    <definedName name="Excel_BuiltIn_Print_Area_5">#REF!</definedName>
    <definedName name="Excel_BuiltIn_Print_Area_6">#REF!</definedName>
    <definedName name="g">'[1]Karamel Vyr Price'!$R$81:$R$84</definedName>
    <definedName name="g_3">'[1]Karamel Vyr Price'!$R$81:$R$84</definedName>
    <definedName name="g_5">'[1]Karamel Vyr Price'!$R$81:$R$84</definedName>
    <definedName name="Iris">#REF!</definedName>
    <definedName name="Iris_14">#REF!</definedName>
    <definedName name="Iris_2">#REF!</definedName>
    <definedName name="Iris_3">#REF!</definedName>
    <definedName name="Iris_6">#REF!</definedName>
    <definedName name="Iris_6_14">#REF!</definedName>
    <definedName name="Karamel">#REF!</definedName>
    <definedName name="Karamel_14">#REF!</definedName>
    <definedName name="Karamel_2">#REF!</definedName>
    <definedName name="Karamel_3">#REF!</definedName>
    <definedName name="Karamel_6">#REF!</definedName>
    <definedName name="Karamel_6_14">#REF!</definedName>
    <definedName name="KEKSY">'[2]Bisquet Plan Price'!$R$108:$R$110</definedName>
    <definedName name="KEKSY_3">#REF!</definedName>
    <definedName name="KEKSY_5">'[2]Bisquet Plan Price'!$R$108:$R$110</definedName>
    <definedName name="KEKSY_6">'[2]Bisquet Plan Price'!$R$108:$R$110</definedName>
    <definedName name="Konditer">'[2]Sweet Plan Price'!$R$66:$R$103</definedName>
    <definedName name="Konditer_3">#REF!</definedName>
    <definedName name="Konditer_5">'[2]Sweet Plan Price'!$R$66:$R$103</definedName>
    <definedName name="Konditer_6">'[2]Sweet Plan Price'!$R$66:$R$103</definedName>
    <definedName name="Marmelad">'[2]Sweet Plan Price'!$R$122:$R$127</definedName>
    <definedName name="Marmelad_3">#REF!</definedName>
    <definedName name="Marmelad_5">'[2]Sweet Plan Price'!$R$122:$R$127</definedName>
    <definedName name="Marmelad_6">'[2]Sweet Plan Price'!$R$122:$R$127</definedName>
    <definedName name="NEGLAZUR">'[2]Sweet Plan Price'!$R$110:$R$113</definedName>
    <definedName name="NEGLAZUR_3">#REF!</definedName>
    <definedName name="NEGLAZUR_5">'[2]Sweet Plan Price'!$R$110:$R$113</definedName>
    <definedName name="NEGLAZUR_6">'[2]Sweet Plan Price'!$R$110:$R$113</definedName>
    <definedName name="Print_Area" localSheetId="0">FORMA_3!$A$1:$BS$80</definedName>
    <definedName name="Pryami">#REF!</definedName>
    <definedName name="Pryami_14">#REF!</definedName>
    <definedName name="Pryami_2">#REF!</definedName>
    <definedName name="Pryami_3">#REF!</definedName>
    <definedName name="Pryami_5">#REF!</definedName>
    <definedName name="SHIDNI">'[2]Sweet Plan Price'!$R$119:$R$119</definedName>
    <definedName name="SHIDNI_3">#REF!</definedName>
    <definedName name="SHIDNI_5">'[2]Sweet Plan Price'!$R$119:$R$119</definedName>
    <definedName name="SHIDNI_6">'[2]Sweet Plan Price'!$R$119:$R$119</definedName>
    <definedName name="SHOKO">'[2]Sweet Plan Price'!$R$5:$R$60</definedName>
    <definedName name="SHOKO_3">#REF!</definedName>
    <definedName name="SHOKO_5">'[2]Sweet Plan Price'!$R$5:$R$60</definedName>
    <definedName name="SHOKO_6">'[2]Sweet Plan Price'!$R$5:$R$60</definedName>
    <definedName name="Torty">'[2]Bisquet Plan Price'!$R$5:$R$105</definedName>
    <definedName name="Torty_3">#REF!</definedName>
    <definedName name="Torty_5">'[2]Bisquet Plan Price'!$R$5:$R$105</definedName>
    <definedName name="Torty_6">'[2]Bisquet Plan Price'!$R$5:$R$105</definedName>
    <definedName name="VAFLYA">'[2]Sweet Plan Price'!$R$116</definedName>
    <definedName name="VAFLYA_3">#REF!</definedName>
    <definedName name="VAFLYA_5">'[2]Sweet Plan Price'!$R$116</definedName>
    <definedName name="VAFLYA_6">'[2]Sweet Plan Price'!$R$116</definedName>
    <definedName name="wwww">'[3]Unity  Fixed'!$E$38</definedName>
    <definedName name="ZHYR">'[2]Sweet Plan Price'!$R$63</definedName>
    <definedName name="ZHYR_3">#REF!</definedName>
    <definedName name="ZHYR_5">'[2]Sweet Plan Price'!$R$63</definedName>
    <definedName name="ZHYR_6">'[2]Sweet Plan Price'!$R$63</definedName>
    <definedName name="Zminni">#REF!</definedName>
    <definedName name="Zminni_2">#REF!</definedName>
    <definedName name="Zminni_3">#REF!</definedName>
    <definedName name="Zminni_5">#REF!</definedName>
    <definedName name="вага_стор">#REF!</definedName>
    <definedName name="вага_стор_1">#REF!</definedName>
    <definedName name="ЕE14">#REF!</definedName>
    <definedName name="ЕE14_2">#REF!</definedName>
    <definedName name="ЕE14_3">#REF!</definedName>
    <definedName name="ЕE14_5">#REF!</definedName>
    <definedName name="жид">#REF!</definedName>
    <definedName name="жид_цина">#REF!</definedName>
    <definedName name="к_сть_сума_Волинь">#REF!</definedName>
    <definedName name="к_сть_сума_за_межі">#REF!</definedName>
    <definedName name="маг">#REF!</definedName>
    <definedName name="пол">#REF!</definedName>
    <definedName name="рік_сума_Волинь">#REF!</definedName>
    <definedName name="рік_сума_за_межі">#REF!</definedName>
    <definedName name="св_2010">#REF!</definedName>
    <definedName name="св_2035">#REF!</definedName>
    <definedName name="св_2037">#REF!</definedName>
    <definedName name="св_2041">#REF!</definedName>
    <definedName name="СВ_2052">#REF!</definedName>
    <definedName name="СВ_2072">#REF!</definedName>
    <definedName name="св_24102">#REF!</definedName>
    <definedName name="св_2435">#REF!</definedName>
    <definedName name="св_2437">#REF!</definedName>
    <definedName name="св_2441">#REF!</definedName>
    <definedName name="св_2445">#REF!</definedName>
    <definedName name="св_2448">#REF!</definedName>
    <definedName name="св_2452">#REF!</definedName>
    <definedName name="св_2462">#REF!</definedName>
    <definedName name="св_2472">#REF!</definedName>
    <definedName name="св_2482">#REF!</definedName>
    <definedName name="св_2492">#REF!</definedName>
    <definedName name="ск10">#REF!</definedName>
    <definedName name="ск102">#REF!</definedName>
    <definedName name="ск112">#REF!</definedName>
    <definedName name="ск35">#REF!</definedName>
    <definedName name="ск37">#REF!</definedName>
    <definedName name="ск41">#REF!</definedName>
    <definedName name="ск45">#REF!</definedName>
    <definedName name="ск48">#REF!</definedName>
    <definedName name="ск52">#REF!</definedName>
    <definedName name="ск62">#REF!</definedName>
    <definedName name="ск62_1">#REF!</definedName>
    <definedName name="ск72">#REF!</definedName>
    <definedName name="ск72_1">#REF!</definedName>
    <definedName name="ск82">#REF!</definedName>
    <definedName name="ск92">#REF!</definedName>
    <definedName name="соб10">#REF!</definedName>
    <definedName name="соб102">#REF!</definedName>
    <definedName name="соб112">#REF!</definedName>
    <definedName name="соб122">#REF!</definedName>
    <definedName name="соб132">#REF!</definedName>
    <definedName name="соб142">#REF!</definedName>
    <definedName name="соб152">#REF!</definedName>
    <definedName name="соб162">#REF!</definedName>
    <definedName name="соб172">#REF!</definedName>
    <definedName name="соб182">#REF!</definedName>
    <definedName name="соб192">#REF!</definedName>
    <definedName name="соб200">#REF!</definedName>
    <definedName name="соб35">#REF!</definedName>
    <definedName name="соб35_1">#REF!</definedName>
    <definedName name="соб37">#REF!</definedName>
    <definedName name="соб41">#REF!</definedName>
    <definedName name="соб45">#REF!</definedName>
    <definedName name="соб48">#REF!</definedName>
    <definedName name="соб52">#REF!</definedName>
    <definedName name="соб62">#REF!</definedName>
    <definedName name="соб72">#REF!</definedName>
    <definedName name="соб82">#REF!</definedName>
    <definedName name="соб92">#REF!</definedName>
    <definedName name="тир_10">#REF!</definedName>
    <definedName name="тир_10_1">#REF!</definedName>
    <definedName name="тир_100">#REF!</definedName>
    <definedName name="тир_35">#REF!</definedName>
    <definedName name="тир_35_1">#REF!</definedName>
    <definedName name="тир_37">#REF!</definedName>
    <definedName name="тир_38">#REF!</definedName>
    <definedName name="тир_41">#REF!</definedName>
    <definedName name="тир_41_1">#REF!</definedName>
    <definedName name="тир_45">#REF!</definedName>
    <definedName name="тир_45_1">#REF!</definedName>
    <definedName name="тир_48">#REF!</definedName>
    <definedName name="тир_48_1">#REF!</definedName>
    <definedName name="тир_52">#REF!</definedName>
    <definedName name="тир_52_1">#REF!</definedName>
    <definedName name="тир_62">#REF!</definedName>
    <definedName name="тир_62_1">#REF!</definedName>
    <definedName name="тир_72">#REF!</definedName>
    <definedName name="тир_72_1">#REF!</definedName>
    <definedName name="тир_82">#REF!</definedName>
    <definedName name="тир_82_1">#REF!</definedName>
    <definedName name="тир_92">#REF!</definedName>
    <definedName name="тир_92_1">#REF!</definedName>
    <definedName name="тир100">[4]тиражі!#REF!</definedName>
    <definedName name="тир114">#REF!</definedName>
    <definedName name="тир140">#REF!</definedName>
    <definedName name="тир44">#REF!</definedName>
    <definedName name="тир50">[4]тиражі!#REF!</definedName>
    <definedName name="тир55">#REF!</definedName>
    <definedName name="тир76">#REF!</definedName>
    <definedName name="цина_паперу">#REF!</definedName>
    <definedName name="цина_паперу_1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U34" i="1" l="1"/>
  <c r="BO46" i="1" l="1"/>
  <c r="BT46" i="1" l="1"/>
  <c r="BT32" i="1"/>
  <c r="BT48" i="1"/>
  <c r="BT14" i="1" l="1"/>
  <c r="BT30" i="1" s="1"/>
  <c r="BT58" i="1"/>
  <c r="BT38" i="1"/>
  <c r="BU58" i="1" l="1"/>
  <c r="BU57" i="1"/>
  <c r="BU48" i="1"/>
  <c r="BU46" i="1"/>
  <c r="BU38" i="1"/>
  <c r="BU16" i="1"/>
  <c r="BU30" i="1" s="1"/>
  <c r="BO34" i="1"/>
  <c r="BO48" i="1"/>
  <c r="BO32" i="1"/>
  <c r="BO57" i="1"/>
  <c r="BO52" i="1"/>
  <c r="BO16" i="1"/>
  <c r="BI52" i="1"/>
  <c r="BI48" i="1"/>
  <c r="BI34" i="1"/>
  <c r="BI46" i="1"/>
  <c r="BI32" i="1"/>
  <c r="BI22" i="1"/>
  <c r="BI14" i="1"/>
  <c r="BC46" i="1"/>
  <c r="BC22" i="1"/>
  <c r="BC48" i="1"/>
  <c r="BC32" i="1"/>
  <c r="BC14" i="1"/>
  <c r="BC34" i="1"/>
  <c r="AW52" i="1"/>
  <c r="AW48" i="1"/>
  <c r="AW34" i="1"/>
  <c r="AW57" i="1"/>
  <c r="AQ57" i="1"/>
  <c r="AQ22" i="1"/>
  <c r="CA69" i="1" l="1"/>
  <c r="BZ69" i="1"/>
  <c r="BX69" i="1"/>
  <c r="BY69" i="1" s="1"/>
  <c r="BW69" i="1"/>
  <c r="BV69" i="1"/>
  <c r="BS69" i="1"/>
  <c r="BP69" i="1"/>
  <c r="BM69" i="1"/>
  <c r="BJ69" i="1"/>
  <c r="BG69" i="1"/>
  <c r="BD69" i="1"/>
  <c r="BA69" i="1"/>
  <c r="AX69" i="1"/>
  <c r="AU69" i="1"/>
  <c r="AR69" i="1"/>
  <c r="AO69" i="1"/>
  <c r="AL69" i="1"/>
  <c r="AI69" i="1"/>
  <c r="AF69" i="1"/>
  <c r="AC69" i="1"/>
  <c r="Z69" i="1"/>
  <c r="W69" i="1"/>
  <c r="T69" i="1"/>
  <c r="Q69" i="1"/>
  <c r="K69" i="1"/>
  <c r="H69" i="1"/>
  <c r="E69" i="1"/>
  <c r="CA68" i="1"/>
  <c r="BZ68" i="1"/>
  <c r="CB68" i="1" s="1"/>
  <c r="BY68" i="1"/>
  <c r="BX68" i="1"/>
  <c r="BW68" i="1"/>
  <c r="BV68" i="1"/>
  <c r="BS68" i="1"/>
  <c r="BP68" i="1"/>
  <c r="BM68" i="1"/>
  <c r="BJ68" i="1"/>
  <c r="BG68" i="1"/>
  <c r="BD68" i="1"/>
  <c r="BA68" i="1"/>
  <c r="AX68" i="1"/>
  <c r="AU68" i="1"/>
  <c r="AR68" i="1"/>
  <c r="AO68" i="1"/>
  <c r="AL68" i="1"/>
  <c r="AI68" i="1"/>
  <c r="AF68" i="1"/>
  <c r="AC68" i="1"/>
  <c r="Z68" i="1"/>
  <c r="W68" i="1"/>
  <c r="T68" i="1"/>
  <c r="Q68" i="1"/>
  <c r="N68" i="1"/>
  <c r="K68" i="1"/>
  <c r="H68" i="1"/>
  <c r="E68" i="1"/>
  <c r="CA67" i="1"/>
  <c r="BZ67" i="1"/>
  <c r="BY67" i="1"/>
  <c r="BX67" i="1"/>
  <c r="BW67" i="1"/>
  <c r="BV67" i="1"/>
  <c r="BS67" i="1"/>
  <c r="BP67" i="1"/>
  <c r="BM67" i="1"/>
  <c r="BJ67" i="1"/>
  <c r="BG67" i="1"/>
  <c r="BD67" i="1"/>
  <c r="BA67" i="1"/>
  <c r="AX67" i="1"/>
  <c r="AU67" i="1"/>
  <c r="AR67" i="1"/>
  <c r="AO67" i="1"/>
  <c r="AL67" i="1"/>
  <c r="AI67" i="1"/>
  <c r="AF67" i="1"/>
  <c r="AC67" i="1"/>
  <c r="Z67" i="1"/>
  <c r="W67" i="1"/>
  <c r="T67" i="1"/>
  <c r="Q67" i="1"/>
  <c r="N67" i="1"/>
  <c r="K67" i="1"/>
  <c r="H67" i="1"/>
  <c r="E67" i="1"/>
  <c r="CA66" i="1"/>
  <c r="BZ66" i="1"/>
  <c r="CB66" i="1" s="1"/>
  <c r="BY66" i="1"/>
  <c r="BX66" i="1"/>
  <c r="BW66" i="1"/>
  <c r="BV66" i="1"/>
  <c r="BS66" i="1"/>
  <c r="BP66" i="1"/>
  <c r="BM66" i="1"/>
  <c r="BJ66" i="1"/>
  <c r="BG66" i="1"/>
  <c r="BD66" i="1"/>
  <c r="BA66" i="1"/>
  <c r="AX66" i="1"/>
  <c r="AU66" i="1"/>
  <c r="AR66" i="1"/>
  <c r="AO66" i="1"/>
  <c r="AL66" i="1"/>
  <c r="AI66" i="1"/>
  <c r="AF66" i="1"/>
  <c r="AC66" i="1"/>
  <c r="Z66" i="1"/>
  <c r="W66" i="1"/>
  <c r="T66" i="1"/>
  <c r="Q66" i="1"/>
  <c r="N66" i="1"/>
  <c r="K66" i="1"/>
  <c r="H66" i="1"/>
  <c r="E66" i="1"/>
  <c r="CA65" i="1"/>
  <c r="BZ65" i="1"/>
  <c r="CB65" i="1" s="1"/>
  <c r="BY65" i="1"/>
  <c r="BX65" i="1"/>
  <c r="BW65" i="1"/>
  <c r="BV65" i="1"/>
  <c r="BS65" i="1"/>
  <c r="BP65" i="1"/>
  <c r="BM65" i="1"/>
  <c r="BJ65" i="1"/>
  <c r="BG65" i="1"/>
  <c r="BD65" i="1"/>
  <c r="BA65" i="1"/>
  <c r="AX65" i="1"/>
  <c r="AU65" i="1"/>
  <c r="AR65" i="1"/>
  <c r="AO65" i="1"/>
  <c r="AL65" i="1"/>
  <c r="AI65" i="1"/>
  <c r="AF65" i="1"/>
  <c r="AC65" i="1"/>
  <c r="Z65" i="1"/>
  <c r="W65" i="1"/>
  <c r="T65" i="1"/>
  <c r="Q65" i="1"/>
  <c r="N65" i="1"/>
  <c r="K65" i="1"/>
  <c r="H65" i="1"/>
  <c r="E65" i="1"/>
  <c r="CA64" i="1"/>
  <c r="BZ64" i="1"/>
  <c r="CB64" i="1" s="1"/>
  <c r="BY64" i="1"/>
  <c r="BX64" i="1"/>
  <c r="BW64" i="1"/>
  <c r="BV64" i="1"/>
  <c r="BS64" i="1"/>
  <c r="BP64" i="1"/>
  <c r="BM64" i="1"/>
  <c r="BJ64" i="1"/>
  <c r="BG64" i="1"/>
  <c r="BD64" i="1"/>
  <c r="BA64" i="1"/>
  <c r="AX64" i="1"/>
  <c r="AU64" i="1"/>
  <c r="AR64" i="1"/>
  <c r="AO64" i="1"/>
  <c r="AL64" i="1"/>
  <c r="AI64" i="1"/>
  <c r="AF64" i="1"/>
  <c r="AC64" i="1"/>
  <c r="Z64" i="1"/>
  <c r="W64" i="1"/>
  <c r="T64" i="1"/>
  <c r="Q64" i="1"/>
  <c r="N64" i="1"/>
  <c r="K64" i="1"/>
  <c r="H64" i="1"/>
  <c r="E64" i="1"/>
  <c r="CA63" i="1"/>
  <c r="BZ63" i="1"/>
  <c r="BY63" i="1"/>
  <c r="BX63" i="1"/>
  <c r="BW63" i="1"/>
  <c r="BV63" i="1"/>
  <c r="BS63" i="1"/>
  <c r="BP63" i="1"/>
  <c r="BM63" i="1"/>
  <c r="BJ63" i="1"/>
  <c r="BG63" i="1"/>
  <c r="BD63" i="1"/>
  <c r="BA63" i="1"/>
  <c r="AX63" i="1"/>
  <c r="AU63" i="1"/>
  <c r="AR63" i="1"/>
  <c r="AO63" i="1"/>
  <c r="AL63" i="1"/>
  <c r="AI63" i="1"/>
  <c r="AF63" i="1"/>
  <c r="AC63" i="1"/>
  <c r="Z63" i="1"/>
  <c r="W63" i="1"/>
  <c r="T63" i="1"/>
  <c r="Q63" i="1"/>
  <c r="N63" i="1"/>
  <c r="K63" i="1"/>
  <c r="H63" i="1"/>
  <c r="E63" i="1"/>
  <c r="CA62" i="1"/>
  <c r="BZ62" i="1"/>
  <c r="CB62" i="1" s="1"/>
  <c r="BY62" i="1"/>
  <c r="BX62" i="1"/>
  <c r="BW62" i="1"/>
  <c r="BV62" i="1"/>
  <c r="BS62" i="1"/>
  <c r="BP62" i="1"/>
  <c r="BM62" i="1"/>
  <c r="BJ62" i="1"/>
  <c r="BG62" i="1"/>
  <c r="BD62" i="1"/>
  <c r="BA62" i="1"/>
  <c r="AX62" i="1"/>
  <c r="AU62" i="1"/>
  <c r="AR62" i="1"/>
  <c r="AO62" i="1"/>
  <c r="AL62" i="1"/>
  <c r="AI62" i="1"/>
  <c r="AF62" i="1"/>
  <c r="AC62" i="1"/>
  <c r="Z62" i="1"/>
  <c r="W62" i="1"/>
  <c r="T62" i="1"/>
  <c r="Q62" i="1"/>
  <c r="N62" i="1"/>
  <c r="K62" i="1"/>
  <c r="H62" i="1"/>
  <c r="E62" i="1"/>
  <c r="CA61" i="1"/>
  <c r="BZ61" i="1"/>
  <c r="BY61" i="1"/>
  <c r="BX61" i="1"/>
  <c r="BW61" i="1"/>
  <c r="BV61" i="1"/>
  <c r="BS61" i="1"/>
  <c r="BP61" i="1"/>
  <c r="BM61" i="1"/>
  <c r="BJ61" i="1"/>
  <c r="BG61" i="1"/>
  <c r="BD61" i="1"/>
  <c r="BA61" i="1"/>
  <c r="AX61" i="1"/>
  <c r="AU61" i="1"/>
  <c r="AR61" i="1"/>
  <c r="AO61" i="1"/>
  <c r="AL61" i="1"/>
  <c r="AI61" i="1"/>
  <c r="AF61" i="1"/>
  <c r="AC61" i="1"/>
  <c r="Z61" i="1"/>
  <c r="W61" i="1"/>
  <c r="T61" i="1"/>
  <c r="Q61" i="1"/>
  <c r="N61" i="1"/>
  <c r="K61" i="1"/>
  <c r="H61" i="1"/>
  <c r="E61" i="1"/>
  <c r="CA60" i="1"/>
  <c r="BZ60" i="1"/>
  <c r="CB60" i="1" s="1"/>
  <c r="BY60" i="1"/>
  <c r="BX60" i="1"/>
  <c r="BW60" i="1"/>
  <c r="BV60" i="1"/>
  <c r="BS60" i="1"/>
  <c r="BP60" i="1"/>
  <c r="BM60" i="1"/>
  <c r="BJ60" i="1"/>
  <c r="BG60" i="1"/>
  <c r="BD60" i="1"/>
  <c r="BA60" i="1"/>
  <c r="AX60" i="1"/>
  <c r="AU60" i="1"/>
  <c r="AR60" i="1"/>
  <c r="AO60" i="1"/>
  <c r="AL60" i="1"/>
  <c r="AI60" i="1"/>
  <c r="AF60" i="1"/>
  <c r="AC60" i="1"/>
  <c r="Z60" i="1"/>
  <c r="W60" i="1"/>
  <c r="T60" i="1"/>
  <c r="Q60" i="1"/>
  <c r="N60" i="1"/>
  <c r="K60" i="1"/>
  <c r="H60" i="1"/>
  <c r="E60" i="1"/>
  <c r="CA59" i="1"/>
  <c r="BZ59" i="1"/>
  <c r="CB59" i="1" s="1"/>
  <c r="BY59" i="1"/>
  <c r="BX59" i="1"/>
  <c r="BW59" i="1"/>
  <c r="BV59" i="1"/>
  <c r="BS59" i="1"/>
  <c r="BP59" i="1"/>
  <c r="BM59" i="1"/>
  <c r="BJ59" i="1"/>
  <c r="BG59" i="1"/>
  <c r="BD59" i="1"/>
  <c r="BA59" i="1"/>
  <c r="AX59" i="1"/>
  <c r="AU59" i="1"/>
  <c r="AR59" i="1"/>
  <c r="AO59" i="1"/>
  <c r="AL59" i="1"/>
  <c r="AI59" i="1"/>
  <c r="AF59" i="1"/>
  <c r="AC59" i="1"/>
  <c r="Z59" i="1"/>
  <c r="W59" i="1"/>
  <c r="T59" i="1"/>
  <c r="Q59" i="1"/>
  <c r="N59" i="1"/>
  <c r="K59" i="1"/>
  <c r="H59" i="1"/>
  <c r="E59" i="1"/>
  <c r="BV58" i="1"/>
  <c r="BS58" i="1"/>
  <c r="BR58" i="1"/>
  <c r="BQ58" i="1"/>
  <c r="BO58" i="1"/>
  <c r="BN58" i="1"/>
  <c r="BP58" i="1" s="1"/>
  <c r="BM58" i="1"/>
  <c r="BL58" i="1"/>
  <c r="BK58" i="1"/>
  <c r="BI58" i="1"/>
  <c r="BH58" i="1"/>
  <c r="BJ58" i="1" s="1"/>
  <c r="BG58" i="1"/>
  <c r="BF58" i="1"/>
  <c r="BE58" i="1"/>
  <c r="BC58" i="1"/>
  <c r="BB58" i="1"/>
  <c r="BD58" i="1" s="1"/>
  <c r="BA58" i="1"/>
  <c r="AZ58" i="1"/>
  <c r="AY58" i="1"/>
  <c r="AW58" i="1"/>
  <c r="AV58" i="1"/>
  <c r="AX58" i="1" s="1"/>
  <c r="AU58" i="1"/>
  <c r="AT58" i="1"/>
  <c r="AS58" i="1"/>
  <c r="AQ58" i="1"/>
  <c r="AP58" i="1"/>
  <c r="AR58" i="1" s="1"/>
  <c r="AO58" i="1"/>
  <c r="AN58" i="1"/>
  <c r="AM58" i="1"/>
  <c r="AK58" i="1"/>
  <c r="AJ58" i="1"/>
  <c r="AL58" i="1" s="1"/>
  <c r="AI58" i="1"/>
  <c r="AH58" i="1"/>
  <c r="AG58" i="1"/>
  <c r="AE58" i="1"/>
  <c r="AD58" i="1"/>
  <c r="AF58" i="1" s="1"/>
  <c r="AC58" i="1"/>
  <c r="AB58" i="1"/>
  <c r="AA58" i="1"/>
  <c r="Y58" i="1"/>
  <c r="X58" i="1"/>
  <c r="Z58" i="1" s="1"/>
  <c r="W58" i="1"/>
  <c r="V58" i="1"/>
  <c r="U58" i="1"/>
  <c r="S58" i="1"/>
  <c r="R58" i="1"/>
  <c r="T58" i="1" s="1"/>
  <c r="Q58" i="1"/>
  <c r="P58" i="1"/>
  <c r="O58" i="1"/>
  <c r="M58" i="1"/>
  <c r="L58" i="1"/>
  <c r="N58" i="1" s="1"/>
  <c r="K58" i="1"/>
  <c r="J58" i="1"/>
  <c r="I58" i="1"/>
  <c r="G58" i="1"/>
  <c r="CA58" i="1" s="1"/>
  <c r="F58" i="1"/>
  <c r="BZ58" i="1" s="1"/>
  <c r="E58" i="1"/>
  <c r="D58" i="1"/>
  <c r="BX58" i="1" s="1"/>
  <c r="C58" i="1"/>
  <c r="BW58" i="1" s="1"/>
  <c r="BY58" i="1" s="1"/>
  <c r="CA57" i="1"/>
  <c r="BZ57" i="1"/>
  <c r="BX57" i="1"/>
  <c r="BY57" i="1" s="1"/>
  <c r="BW57" i="1"/>
  <c r="BV57" i="1"/>
  <c r="BS57" i="1"/>
  <c r="BP57" i="1"/>
  <c r="BM57" i="1"/>
  <c r="BJ57" i="1"/>
  <c r="BG57" i="1"/>
  <c r="BD57" i="1"/>
  <c r="BA57" i="1"/>
  <c r="AX57" i="1"/>
  <c r="AU57" i="1"/>
  <c r="AR57" i="1"/>
  <c r="AO57" i="1"/>
  <c r="AL57" i="1"/>
  <c r="AI57" i="1"/>
  <c r="AF57" i="1"/>
  <c r="AC57" i="1"/>
  <c r="Z57" i="1"/>
  <c r="W57" i="1"/>
  <c r="T57" i="1"/>
  <c r="Q57" i="1"/>
  <c r="N57" i="1"/>
  <c r="K57" i="1"/>
  <c r="H57" i="1"/>
  <c r="E57" i="1"/>
  <c r="CA56" i="1"/>
  <c r="BZ56" i="1"/>
  <c r="BY56" i="1"/>
  <c r="BX56" i="1"/>
  <c r="BW56" i="1"/>
  <c r="BV56" i="1"/>
  <c r="BS56" i="1"/>
  <c r="BP56" i="1"/>
  <c r="BM56" i="1"/>
  <c r="BJ56" i="1"/>
  <c r="BG56" i="1"/>
  <c r="BD56" i="1"/>
  <c r="BA56" i="1"/>
  <c r="AX56" i="1"/>
  <c r="AU56" i="1"/>
  <c r="AR56" i="1"/>
  <c r="AO56" i="1"/>
  <c r="AL56" i="1"/>
  <c r="AI56" i="1"/>
  <c r="AF56" i="1"/>
  <c r="AC56" i="1"/>
  <c r="Z56" i="1"/>
  <c r="W56" i="1"/>
  <c r="T56" i="1"/>
  <c r="Q56" i="1"/>
  <c r="N56" i="1"/>
  <c r="K56" i="1"/>
  <c r="H56" i="1"/>
  <c r="E56" i="1"/>
  <c r="CA55" i="1"/>
  <c r="BZ55" i="1"/>
  <c r="BY55" i="1"/>
  <c r="BX55" i="1"/>
  <c r="BW55" i="1"/>
  <c r="BV55" i="1"/>
  <c r="BS55" i="1"/>
  <c r="BP55" i="1"/>
  <c r="BM55" i="1"/>
  <c r="BJ55" i="1"/>
  <c r="BG55" i="1"/>
  <c r="BD55" i="1"/>
  <c r="BA55" i="1"/>
  <c r="AX55" i="1"/>
  <c r="AU55" i="1"/>
  <c r="AR55" i="1"/>
  <c r="AO55" i="1"/>
  <c r="AL55" i="1"/>
  <c r="AI55" i="1"/>
  <c r="AF55" i="1"/>
  <c r="AC55" i="1"/>
  <c r="Z55" i="1"/>
  <c r="W55" i="1"/>
  <c r="T55" i="1"/>
  <c r="Q55" i="1"/>
  <c r="N55" i="1"/>
  <c r="K55" i="1"/>
  <c r="H55" i="1"/>
  <c r="E55" i="1"/>
  <c r="CA54" i="1"/>
  <c r="BZ54" i="1"/>
  <c r="CB54" i="1" s="1"/>
  <c r="BY54" i="1"/>
  <c r="BX54" i="1"/>
  <c r="BW54" i="1"/>
  <c r="BV54" i="1"/>
  <c r="BS54" i="1"/>
  <c r="BP54" i="1"/>
  <c r="BM54" i="1"/>
  <c r="BJ54" i="1"/>
  <c r="BG54" i="1"/>
  <c r="BD54" i="1"/>
  <c r="BA54" i="1"/>
  <c r="AX54" i="1"/>
  <c r="AU54" i="1"/>
  <c r="AR54" i="1"/>
  <c r="AO54" i="1"/>
  <c r="AL54" i="1"/>
  <c r="AI54" i="1"/>
  <c r="AF54" i="1"/>
  <c r="AC54" i="1"/>
  <c r="Z54" i="1"/>
  <c r="W54" i="1"/>
  <c r="T54" i="1"/>
  <c r="Q54" i="1"/>
  <c r="N54" i="1"/>
  <c r="K54" i="1"/>
  <c r="H54" i="1"/>
  <c r="E54" i="1"/>
  <c r="CA53" i="1"/>
  <c r="BZ53" i="1"/>
  <c r="BX53" i="1"/>
  <c r="BW53" i="1"/>
  <c r="BY53" i="1" s="1"/>
  <c r="BV53" i="1"/>
  <c r="BS53" i="1"/>
  <c r="BP53" i="1"/>
  <c r="BM53" i="1"/>
  <c r="BJ53" i="1"/>
  <c r="BG53" i="1"/>
  <c r="BD53" i="1"/>
  <c r="BA53" i="1"/>
  <c r="AX53" i="1"/>
  <c r="AU53" i="1"/>
  <c r="AR53" i="1"/>
  <c r="AO53" i="1"/>
  <c r="AL53" i="1"/>
  <c r="AI53" i="1"/>
  <c r="AF53" i="1"/>
  <c r="AC53" i="1"/>
  <c r="Z53" i="1"/>
  <c r="W53" i="1"/>
  <c r="T53" i="1"/>
  <c r="Q53" i="1"/>
  <c r="N53" i="1"/>
  <c r="K53" i="1"/>
  <c r="H53" i="1"/>
  <c r="E53" i="1"/>
  <c r="CA52" i="1"/>
  <c r="BZ52" i="1"/>
  <c r="BX52" i="1"/>
  <c r="BW52" i="1"/>
  <c r="BV52" i="1"/>
  <c r="BS52" i="1"/>
  <c r="BP52" i="1"/>
  <c r="BM52" i="1"/>
  <c r="BJ52" i="1"/>
  <c r="BG52" i="1"/>
  <c r="BD52" i="1"/>
  <c r="BA52" i="1"/>
  <c r="AX52" i="1"/>
  <c r="AU52" i="1"/>
  <c r="AR52" i="1"/>
  <c r="AO52" i="1"/>
  <c r="AL52" i="1"/>
  <c r="AI52" i="1"/>
  <c r="AF52" i="1"/>
  <c r="AC52" i="1"/>
  <c r="Z52" i="1"/>
  <c r="W52" i="1"/>
  <c r="T52" i="1"/>
  <c r="Q52" i="1"/>
  <c r="N52" i="1"/>
  <c r="K52" i="1"/>
  <c r="H52" i="1"/>
  <c r="E52" i="1"/>
  <c r="CA51" i="1"/>
  <c r="BZ51" i="1"/>
  <c r="BY51" i="1"/>
  <c r="BX51" i="1"/>
  <c r="BW51" i="1"/>
  <c r="BV51" i="1"/>
  <c r="BS51" i="1"/>
  <c r="BP51" i="1"/>
  <c r="BM51" i="1"/>
  <c r="BJ51" i="1"/>
  <c r="BG51" i="1"/>
  <c r="BD51" i="1"/>
  <c r="BA51" i="1"/>
  <c r="AX51" i="1"/>
  <c r="AU51" i="1"/>
  <c r="AR51" i="1"/>
  <c r="AO51" i="1"/>
  <c r="AL51" i="1"/>
  <c r="AI51" i="1"/>
  <c r="AF51" i="1"/>
  <c r="AC51" i="1"/>
  <c r="Z51" i="1"/>
  <c r="W51" i="1"/>
  <c r="T51" i="1"/>
  <c r="Q51" i="1"/>
  <c r="N51" i="1"/>
  <c r="K51" i="1"/>
  <c r="H51" i="1"/>
  <c r="E51" i="1"/>
  <c r="CA50" i="1"/>
  <c r="BZ50" i="1"/>
  <c r="BY50" i="1"/>
  <c r="BX50" i="1"/>
  <c r="BW50" i="1"/>
  <c r="BV50" i="1"/>
  <c r="BS50" i="1"/>
  <c r="BP50" i="1"/>
  <c r="BM50" i="1"/>
  <c r="BJ50" i="1"/>
  <c r="BG50" i="1"/>
  <c r="BD50" i="1"/>
  <c r="BA50" i="1"/>
  <c r="AX50" i="1"/>
  <c r="AU50" i="1"/>
  <c r="AR50" i="1"/>
  <c r="AO50" i="1"/>
  <c r="AL50" i="1"/>
  <c r="AI50" i="1"/>
  <c r="AF50" i="1"/>
  <c r="AC50" i="1"/>
  <c r="Z50" i="1"/>
  <c r="W50" i="1"/>
  <c r="T50" i="1"/>
  <c r="Q50" i="1"/>
  <c r="N50" i="1"/>
  <c r="K50" i="1"/>
  <c r="H50" i="1"/>
  <c r="E50" i="1"/>
  <c r="CA49" i="1"/>
  <c r="BZ49" i="1"/>
  <c r="BY49" i="1"/>
  <c r="BX49" i="1"/>
  <c r="BW49" i="1"/>
  <c r="BV49" i="1"/>
  <c r="BS49" i="1"/>
  <c r="BP49" i="1"/>
  <c r="BM49" i="1"/>
  <c r="BJ49" i="1"/>
  <c r="BG49" i="1"/>
  <c r="BD49" i="1"/>
  <c r="BA49" i="1"/>
  <c r="AX49" i="1"/>
  <c r="AU49" i="1"/>
  <c r="AR49" i="1"/>
  <c r="AO49" i="1"/>
  <c r="AL49" i="1"/>
  <c r="AI49" i="1"/>
  <c r="AF49" i="1"/>
  <c r="AC49" i="1"/>
  <c r="Z49" i="1"/>
  <c r="W49" i="1"/>
  <c r="T49" i="1"/>
  <c r="Q49" i="1"/>
  <c r="N49" i="1"/>
  <c r="K49" i="1"/>
  <c r="H49" i="1"/>
  <c r="E49" i="1"/>
  <c r="CA48" i="1"/>
  <c r="BX48" i="1"/>
  <c r="BY48" i="1" s="1"/>
  <c r="BW48" i="1"/>
  <c r="BV48" i="1"/>
  <c r="BS48" i="1"/>
  <c r="BN48" i="1"/>
  <c r="BZ48" i="1" s="1"/>
  <c r="BM48" i="1"/>
  <c r="BJ48" i="1"/>
  <c r="BH48" i="1"/>
  <c r="BG48" i="1"/>
  <c r="BD48" i="1"/>
  <c r="BA48" i="1"/>
  <c r="AX48" i="1"/>
  <c r="AU48" i="1"/>
  <c r="AR48" i="1"/>
  <c r="AO48" i="1"/>
  <c r="AL48" i="1"/>
  <c r="AI48" i="1"/>
  <c r="AF48" i="1"/>
  <c r="AC48" i="1"/>
  <c r="Z48" i="1"/>
  <c r="W48" i="1"/>
  <c r="T48" i="1"/>
  <c r="Q48" i="1"/>
  <c r="N48" i="1"/>
  <c r="K48" i="1"/>
  <c r="H48" i="1"/>
  <c r="E48" i="1"/>
  <c r="CA47" i="1"/>
  <c r="BZ47" i="1"/>
  <c r="BX47" i="1"/>
  <c r="BW47" i="1"/>
  <c r="BY47" i="1" s="1"/>
  <c r="BV47" i="1"/>
  <c r="BS47" i="1"/>
  <c r="BP47" i="1"/>
  <c r="BM47" i="1"/>
  <c r="BJ47" i="1"/>
  <c r="BG47" i="1"/>
  <c r="BD47" i="1"/>
  <c r="BA47" i="1"/>
  <c r="AX47" i="1"/>
  <c r="AU47" i="1"/>
  <c r="AR47" i="1"/>
  <c r="AO47" i="1"/>
  <c r="AL47" i="1"/>
  <c r="AI47" i="1"/>
  <c r="AF47" i="1"/>
  <c r="AC47" i="1"/>
  <c r="Z47" i="1"/>
  <c r="W47" i="1"/>
  <c r="T47" i="1"/>
  <c r="Q47" i="1"/>
  <c r="N47" i="1"/>
  <c r="K47" i="1"/>
  <c r="H47" i="1"/>
  <c r="E47" i="1"/>
  <c r="CA46" i="1"/>
  <c r="BZ46" i="1"/>
  <c r="BX46" i="1"/>
  <c r="BW46" i="1"/>
  <c r="BY46" i="1" s="1"/>
  <c r="BV46" i="1"/>
  <c r="BS46" i="1"/>
  <c r="BP46" i="1"/>
  <c r="BM46" i="1"/>
  <c r="BJ46" i="1"/>
  <c r="BG46" i="1"/>
  <c r="BD46" i="1"/>
  <c r="BA46" i="1"/>
  <c r="AX46" i="1"/>
  <c r="AU46" i="1"/>
  <c r="AR46" i="1"/>
  <c r="AO46" i="1"/>
  <c r="AL46" i="1"/>
  <c r="AI46" i="1"/>
  <c r="AF46" i="1"/>
  <c r="AC46" i="1"/>
  <c r="Z46" i="1"/>
  <c r="W46" i="1"/>
  <c r="T46" i="1"/>
  <c r="Q46" i="1"/>
  <c r="N46" i="1"/>
  <c r="K46" i="1"/>
  <c r="H46" i="1"/>
  <c r="E46" i="1"/>
  <c r="CA45" i="1"/>
  <c r="BZ45" i="1"/>
  <c r="BX45" i="1"/>
  <c r="BW45" i="1"/>
  <c r="BY45" i="1" s="1"/>
  <c r="BV45" i="1"/>
  <c r="BS45" i="1"/>
  <c r="BP45" i="1"/>
  <c r="BM45" i="1"/>
  <c r="BJ45" i="1"/>
  <c r="BG45" i="1"/>
  <c r="BD45" i="1"/>
  <c r="BA45" i="1"/>
  <c r="AX45" i="1"/>
  <c r="AU45" i="1"/>
  <c r="AR45" i="1"/>
  <c r="AO45" i="1"/>
  <c r="AL45" i="1"/>
  <c r="AI45" i="1"/>
  <c r="AF45" i="1"/>
  <c r="AC45" i="1"/>
  <c r="Z45" i="1"/>
  <c r="W45" i="1"/>
  <c r="T45" i="1"/>
  <c r="Q45" i="1"/>
  <c r="N45" i="1"/>
  <c r="K45" i="1"/>
  <c r="H45" i="1"/>
  <c r="E45" i="1"/>
  <c r="CA44" i="1"/>
  <c r="BZ44" i="1"/>
  <c r="BX44" i="1"/>
  <c r="BW44" i="1"/>
  <c r="BY44" i="1" s="1"/>
  <c r="BV44" i="1"/>
  <c r="BS44" i="1"/>
  <c r="BP44" i="1"/>
  <c r="BM44" i="1"/>
  <c r="BJ44" i="1"/>
  <c r="BG44" i="1"/>
  <c r="BD44" i="1"/>
  <c r="BA44" i="1"/>
  <c r="AX44" i="1"/>
  <c r="AU44" i="1"/>
  <c r="AR44" i="1"/>
  <c r="AO44" i="1"/>
  <c r="AL44" i="1"/>
  <c r="AI44" i="1"/>
  <c r="AF44" i="1"/>
  <c r="AC44" i="1"/>
  <c r="Z44" i="1"/>
  <c r="W44" i="1"/>
  <c r="T44" i="1"/>
  <c r="Q44" i="1"/>
  <c r="N44" i="1"/>
  <c r="K44" i="1"/>
  <c r="H44" i="1"/>
  <c r="E44" i="1"/>
  <c r="CA43" i="1"/>
  <c r="CB43" i="1" s="1"/>
  <c r="BZ43" i="1"/>
  <c r="BX43" i="1"/>
  <c r="BW43" i="1"/>
  <c r="BY43" i="1" s="1"/>
  <c r="BV43" i="1"/>
  <c r="BS43" i="1"/>
  <c r="BP43" i="1"/>
  <c r="BM43" i="1"/>
  <c r="BJ43" i="1"/>
  <c r="BG43" i="1"/>
  <c r="BD43" i="1"/>
  <c r="BA43" i="1"/>
  <c r="AX43" i="1"/>
  <c r="AU43" i="1"/>
  <c r="AR43" i="1"/>
  <c r="AO43" i="1"/>
  <c r="AL43" i="1"/>
  <c r="AI43" i="1"/>
  <c r="AF43" i="1"/>
  <c r="AC43" i="1"/>
  <c r="Z43" i="1"/>
  <c r="W43" i="1"/>
  <c r="T43" i="1"/>
  <c r="Q43" i="1"/>
  <c r="N43" i="1"/>
  <c r="K43" i="1"/>
  <c r="H43" i="1"/>
  <c r="E43" i="1"/>
  <c r="CA42" i="1"/>
  <c r="BZ42" i="1"/>
  <c r="BX42" i="1"/>
  <c r="BW42" i="1"/>
  <c r="BY42" i="1" s="1"/>
  <c r="BV42" i="1"/>
  <c r="BS42" i="1"/>
  <c r="BP42" i="1"/>
  <c r="BM42" i="1"/>
  <c r="BJ42" i="1"/>
  <c r="BG42" i="1"/>
  <c r="BD42" i="1"/>
  <c r="BA42" i="1"/>
  <c r="AX42" i="1"/>
  <c r="AU42" i="1"/>
  <c r="AR42" i="1"/>
  <c r="AO42" i="1"/>
  <c r="AL42" i="1"/>
  <c r="AI42" i="1"/>
  <c r="AF42" i="1"/>
  <c r="AC42" i="1"/>
  <c r="Z42" i="1"/>
  <c r="W42" i="1"/>
  <c r="T42" i="1"/>
  <c r="Q42" i="1"/>
  <c r="N42" i="1"/>
  <c r="K42" i="1"/>
  <c r="H42" i="1"/>
  <c r="E42" i="1"/>
  <c r="CA41" i="1"/>
  <c r="BZ41" i="1"/>
  <c r="BX41" i="1"/>
  <c r="BW41" i="1"/>
  <c r="BY41" i="1" s="1"/>
  <c r="BV41" i="1"/>
  <c r="BS41" i="1"/>
  <c r="BP41" i="1"/>
  <c r="BM41" i="1"/>
  <c r="BJ41" i="1"/>
  <c r="BG41" i="1"/>
  <c r="BD41" i="1"/>
  <c r="BA41" i="1"/>
  <c r="AX41" i="1"/>
  <c r="AU41" i="1"/>
  <c r="AR41" i="1"/>
  <c r="AO41" i="1"/>
  <c r="AL41" i="1"/>
  <c r="AI41" i="1"/>
  <c r="AF41" i="1"/>
  <c r="AC41" i="1"/>
  <c r="Z41" i="1"/>
  <c r="W41" i="1"/>
  <c r="T41" i="1"/>
  <c r="Q41" i="1"/>
  <c r="N41" i="1"/>
  <c r="K41" i="1"/>
  <c r="H41" i="1"/>
  <c r="E41" i="1"/>
  <c r="CA40" i="1"/>
  <c r="CB40" i="1" s="1"/>
  <c r="BZ40" i="1"/>
  <c r="BX40" i="1"/>
  <c r="BW40" i="1"/>
  <c r="BY40" i="1" s="1"/>
  <c r="BV40" i="1"/>
  <c r="BS40" i="1"/>
  <c r="BP40" i="1"/>
  <c r="BM40" i="1"/>
  <c r="BJ40" i="1"/>
  <c r="BG40" i="1"/>
  <c r="BD40" i="1"/>
  <c r="BA40" i="1"/>
  <c r="AX40" i="1"/>
  <c r="AU40" i="1"/>
  <c r="AR40" i="1"/>
  <c r="AO40" i="1"/>
  <c r="AL40" i="1"/>
  <c r="AI40" i="1"/>
  <c r="AF40" i="1"/>
  <c r="AC40" i="1"/>
  <c r="Z40" i="1"/>
  <c r="W40" i="1"/>
  <c r="T40" i="1"/>
  <c r="Q40" i="1"/>
  <c r="N40" i="1"/>
  <c r="K40" i="1"/>
  <c r="H40" i="1"/>
  <c r="E40" i="1"/>
  <c r="CA39" i="1"/>
  <c r="BZ39" i="1"/>
  <c r="BX39" i="1"/>
  <c r="BW39" i="1"/>
  <c r="BY39" i="1" s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E39" i="1"/>
  <c r="BU70" i="1"/>
  <c r="BT70" i="1"/>
  <c r="BR38" i="1"/>
  <c r="BR70" i="1" s="1"/>
  <c r="BQ38" i="1"/>
  <c r="BS38" i="1" s="1"/>
  <c r="BO38" i="1"/>
  <c r="BO70" i="1" s="1"/>
  <c r="BN38" i="1"/>
  <c r="BN70" i="1" s="1"/>
  <c r="BP70" i="1" s="1"/>
  <c r="BL38" i="1"/>
  <c r="BL70" i="1" s="1"/>
  <c r="BK38" i="1"/>
  <c r="BM38" i="1" s="1"/>
  <c r="BI38" i="1"/>
  <c r="BI70" i="1" s="1"/>
  <c r="BH38" i="1"/>
  <c r="BH70" i="1" s="1"/>
  <c r="BF38" i="1"/>
  <c r="BF70" i="1" s="1"/>
  <c r="BE38" i="1"/>
  <c r="BC38" i="1"/>
  <c r="BC70" i="1" s="1"/>
  <c r="BB38" i="1"/>
  <c r="BB70" i="1" s="1"/>
  <c r="AZ38" i="1"/>
  <c r="AZ70" i="1" s="1"/>
  <c r="AY38" i="1"/>
  <c r="AW38" i="1"/>
  <c r="AW70" i="1" s="1"/>
  <c r="AV38" i="1"/>
  <c r="AV70" i="1" s="1"/>
  <c r="AT38" i="1"/>
  <c r="AT70" i="1" s="1"/>
  <c r="AS38" i="1"/>
  <c r="AQ38" i="1"/>
  <c r="AQ70" i="1" s="1"/>
  <c r="AP38" i="1"/>
  <c r="AP70" i="1" s="1"/>
  <c r="AR70" i="1" s="1"/>
  <c r="AN38" i="1"/>
  <c r="AN70" i="1" s="1"/>
  <c r="AM38" i="1"/>
  <c r="AK38" i="1"/>
  <c r="AK70" i="1" s="1"/>
  <c r="AJ38" i="1"/>
  <c r="AJ70" i="1" s="1"/>
  <c r="AL70" i="1" s="1"/>
  <c r="AH38" i="1"/>
  <c r="AH70" i="1" s="1"/>
  <c r="AG38" i="1"/>
  <c r="AE38" i="1"/>
  <c r="AE70" i="1" s="1"/>
  <c r="AD38" i="1"/>
  <c r="AD70" i="1" s="1"/>
  <c r="AF70" i="1" s="1"/>
  <c r="AB38" i="1"/>
  <c r="AB70" i="1" s="1"/>
  <c r="AA38" i="1"/>
  <c r="Y38" i="1"/>
  <c r="Y70" i="1" s="1"/>
  <c r="X38" i="1"/>
  <c r="X70" i="1" s="1"/>
  <c r="V38" i="1"/>
  <c r="V70" i="1" s="1"/>
  <c r="U38" i="1"/>
  <c r="S38" i="1"/>
  <c r="S70" i="1" s="1"/>
  <c r="R38" i="1"/>
  <c r="R70" i="1" s="1"/>
  <c r="T70" i="1" s="1"/>
  <c r="P38" i="1"/>
  <c r="P70" i="1" s="1"/>
  <c r="O38" i="1"/>
  <c r="M38" i="1"/>
  <c r="M70" i="1" s="1"/>
  <c r="L38" i="1"/>
  <c r="L70" i="1" s="1"/>
  <c r="N70" i="1" s="1"/>
  <c r="J38" i="1"/>
  <c r="J70" i="1" s="1"/>
  <c r="I38" i="1"/>
  <c r="G38" i="1"/>
  <c r="G70" i="1" s="1"/>
  <c r="F38" i="1"/>
  <c r="H38" i="1" s="1"/>
  <c r="D38" i="1"/>
  <c r="D70" i="1" s="1"/>
  <c r="C38" i="1"/>
  <c r="CA37" i="1"/>
  <c r="BZ37" i="1"/>
  <c r="BX37" i="1"/>
  <c r="BW37" i="1"/>
  <c r="BY37" i="1" s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E37" i="1"/>
  <c r="CA36" i="1"/>
  <c r="BZ36" i="1"/>
  <c r="CB36" i="1" s="1"/>
  <c r="BX36" i="1"/>
  <c r="BW36" i="1"/>
  <c r="BY36" i="1" s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E36" i="1"/>
  <c r="CA35" i="1"/>
  <c r="BZ35" i="1"/>
  <c r="BX35" i="1"/>
  <c r="BW35" i="1"/>
  <c r="BY35" i="1" s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K35" i="1"/>
  <c r="H35" i="1"/>
  <c r="E35" i="1"/>
  <c r="CA34" i="1"/>
  <c r="BZ34" i="1"/>
  <c r="BX34" i="1"/>
  <c r="BY34" i="1" s="1"/>
  <c r="BW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E34" i="1"/>
  <c r="CB33" i="1"/>
  <c r="CA33" i="1"/>
  <c r="BZ33" i="1"/>
  <c r="BY33" i="1"/>
  <c r="BX33" i="1"/>
  <c r="BW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E33" i="1"/>
  <c r="CA32" i="1"/>
  <c r="BZ32" i="1"/>
  <c r="BY32" i="1"/>
  <c r="BX32" i="1"/>
  <c r="BW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K32" i="1"/>
  <c r="H32" i="1"/>
  <c r="E32" i="1"/>
  <c r="BV30" i="1"/>
  <c r="BR30" i="1"/>
  <c r="BQ30" i="1"/>
  <c r="BO30" i="1"/>
  <c r="BN30" i="1"/>
  <c r="BL30" i="1"/>
  <c r="BK30" i="1"/>
  <c r="BM30" i="1" s="1"/>
  <c r="BI30" i="1"/>
  <c r="BH30" i="1"/>
  <c r="BF30" i="1"/>
  <c r="BF72" i="1" s="1"/>
  <c r="BE30" i="1"/>
  <c r="BG30" i="1" s="1"/>
  <c r="BC30" i="1"/>
  <c r="BB30" i="1"/>
  <c r="AZ30" i="1"/>
  <c r="AY30" i="1"/>
  <c r="BA30" i="1" s="1"/>
  <c r="AW30" i="1"/>
  <c r="AV30" i="1"/>
  <c r="AT30" i="1"/>
  <c r="AS30" i="1"/>
  <c r="AU30" i="1" s="1"/>
  <c r="AQ30" i="1"/>
  <c r="AP30" i="1"/>
  <c r="AR30" i="1" s="1"/>
  <c r="AN30" i="1"/>
  <c r="AN72" i="1" s="1"/>
  <c r="AM30" i="1"/>
  <c r="AO30" i="1" s="1"/>
  <c r="AK30" i="1"/>
  <c r="AJ30" i="1"/>
  <c r="AL30" i="1" s="1"/>
  <c r="AH30" i="1"/>
  <c r="AG30" i="1"/>
  <c r="AI30" i="1" s="1"/>
  <c r="AE30" i="1"/>
  <c r="AD30" i="1"/>
  <c r="AF30" i="1" s="1"/>
  <c r="AB30" i="1"/>
  <c r="AA30" i="1"/>
  <c r="AC30" i="1" s="1"/>
  <c r="Y30" i="1"/>
  <c r="X30" i="1"/>
  <c r="Z30" i="1" s="1"/>
  <c r="V30" i="1"/>
  <c r="V72" i="1" s="1"/>
  <c r="U30" i="1"/>
  <c r="W30" i="1" s="1"/>
  <c r="S30" i="1"/>
  <c r="R30" i="1"/>
  <c r="T30" i="1" s="1"/>
  <c r="P30" i="1"/>
  <c r="O30" i="1"/>
  <c r="Q30" i="1" s="1"/>
  <c r="M30" i="1"/>
  <c r="L30" i="1"/>
  <c r="N30" i="1" s="1"/>
  <c r="J30" i="1"/>
  <c r="I30" i="1"/>
  <c r="K30" i="1" s="1"/>
  <c r="G30" i="1"/>
  <c r="F30" i="1"/>
  <c r="E30" i="1"/>
  <c r="D30" i="1"/>
  <c r="D72" i="1" s="1"/>
  <c r="C30" i="1"/>
  <c r="CA29" i="1"/>
  <c r="CB29" i="1" s="1"/>
  <c r="BZ29" i="1"/>
  <c r="BY29" i="1"/>
  <c r="BX29" i="1"/>
  <c r="BW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E29" i="1"/>
  <c r="CA28" i="1"/>
  <c r="BZ28" i="1"/>
  <c r="BY28" i="1"/>
  <c r="BX28" i="1"/>
  <c r="BW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E28" i="1"/>
  <c r="CA27" i="1"/>
  <c r="BZ27" i="1"/>
  <c r="BY27" i="1"/>
  <c r="BX27" i="1"/>
  <c r="BW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E27" i="1"/>
  <c r="CA26" i="1"/>
  <c r="CB26" i="1" s="1"/>
  <c r="BZ26" i="1"/>
  <c r="BY26" i="1"/>
  <c r="BX26" i="1"/>
  <c r="BW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E26" i="1"/>
  <c r="CA25" i="1"/>
  <c r="BZ25" i="1"/>
  <c r="CB25" i="1" s="1"/>
  <c r="BX25" i="1"/>
  <c r="BY25" i="1" s="1"/>
  <c r="BW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E25" i="1"/>
  <c r="CA24" i="1"/>
  <c r="CB24" i="1" s="1"/>
  <c r="BZ24" i="1"/>
  <c r="BX24" i="1"/>
  <c r="BY24" i="1" s="1"/>
  <c r="BW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E24" i="1"/>
  <c r="CA23" i="1"/>
  <c r="BZ23" i="1"/>
  <c r="BX23" i="1"/>
  <c r="BY23" i="1" s="1"/>
  <c r="BW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E23" i="1"/>
  <c r="CA22" i="1"/>
  <c r="CB22" i="1" s="1"/>
  <c r="BZ22" i="1"/>
  <c r="BX22" i="1"/>
  <c r="BW22" i="1"/>
  <c r="BY22" i="1" s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E22" i="1"/>
  <c r="CA21" i="1"/>
  <c r="CB21" i="1" s="1"/>
  <c r="BZ21" i="1"/>
  <c r="BY21" i="1"/>
  <c r="BX21" i="1"/>
  <c r="BW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E21" i="1"/>
  <c r="CA20" i="1"/>
  <c r="BZ20" i="1"/>
  <c r="BY20" i="1"/>
  <c r="BX20" i="1"/>
  <c r="BW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E20" i="1"/>
  <c r="CA19" i="1"/>
  <c r="BZ19" i="1"/>
  <c r="BY19" i="1"/>
  <c r="BX19" i="1"/>
  <c r="BW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E19" i="1"/>
  <c r="CA18" i="1"/>
  <c r="CB18" i="1" s="1"/>
  <c r="BZ18" i="1"/>
  <c r="BY18" i="1"/>
  <c r="BX18" i="1"/>
  <c r="BW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E18" i="1"/>
  <c r="CA17" i="1"/>
  <c r="BZ17" i="1"/>
  <c r="CB17" i="1" s="1"/>
  <c r="BY17" i="1"/>
  <c r="BX17" i="1"/>
  <c r="BW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E17" i="1"/>
  <c r="CA16" i="1"/>
  <c r="BZ16" i="1"/>
  <c r="BX16" i="1"/>
  <c r="BW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E16" i="1"/>
  <c r="CA15" i="1"/>
  <c r="BZ15" i="1"/>
  <c r="CB15" i="1" s="1"/>
  <c r="BX15" i="1"/>
  <c r="BW15" i="1"/>
  <c r="BY15" i="1" s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E15" i="1"/>
  <c r="CA14" i="1"/>
  <c r="BZ14" i="1"/>
  <c r="CB14" i="1" s="1"/>
  <c r="BX14" i="1"/>
  <c r="BW14" i="1"/>
  <c r="BY14" i="1" s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E14" i="1"/>
  <c r="CA13" i="1"/>
  <c r="BZ13" i="1"/>
  <c r="CB13" i="1" s="1"/>
  <c r="BX13" i="1"/>
  <c r="BW13" i="1"/>
  <c r="BY13" i="1" s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E13" i="1"/>
  <c r="CA12" i="1"/>
  <c r="BZ12" i="1"/>
  <c r="BX12" i="1"/>
  <c r="BW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E12" i="1"/>
  <c r="CA8" i="1"/>
  <c r="BZ8" i="1"/>
  <c r="CB8" i="1" s="1"/>
  <c r="BY8" i="1"/>
  <c r="BS8" i="1"/>
  <c r="BM8" i="1"/>
  <c r="BG8" i="1"/>
  <c r="BA8" i="1"/>
  <c r="AU8" i="1"/>
  <c r="AO8" i="1"/>
  <c r="AI8" i="1"/>
  <c r="AC8" i="1"/>
  <c r="W8" i="1"/>
  <c r="Q8" i="1"/>
  <c r="K8" i="1"/>
  <c r="H8" i="1"/>
  <c r="E8" i="1"/>
  <c r="CB16" i="1" l="1"/>
  <c r="CB46" i="1"/>
  <c r="CB20" i="1"/>
  <c r="CB28" i="1"/>
  <c r="CB41" i="1"/>
  <c r="CB44" i="1"/>
  <c r="CB47" i="1"/>
  <c r="BZ30" i="1"/>
  <c r="CB19" i="1"/>
  <c r="CB23" i="1"/>
  <c r="CB27" i="1"/>
  <c r="CB32" i="1"/>
  <c r="CB39" i="1"/>
  <c r="CB42" i="1"/>
  <c r="CB45" i="1"/>
  <c r="CB69" i="1"/>
  <c r="CB34" i="1"/>
  <c r="CB37" i="1"/>
  <c r="BV70" i="1"/>
  <c r="CB56" i="1"/>
  <c r="CB67" i="1"/>
  <c r="CB51" i="1"/>
  <c r="CB55" i="1"/>
  <c r="CB49" i="1"/>
  <c r="CB53" i="1"/>
  <c r="CB35" i="1"/>
  <c r="CB63" i="1"/>
  <c r="BY52" i="1"/>
  <c r="BR72" i="1"/>
  <c r="BS30" i="1"/>
  <c r="BP30" i="1"/>
  <c r="CB61" i="1"/>
  <c r="CC21" i="1" s="1"/>
  <c r="CB52" i="1"/>
  <c r="BJ70" i="1"/>
  <c r="BJ30" i="1"/>
  <c r="BD30" i="1"/>
  <c r="BD70" i="1"/>
  <c r="CB48" i="1"/>
  <c r="AX70" i="1"/>
  <c r="CB57" i="1"/>
  <c r="CB50" i="1"/>
  <c r="AX30" i="1"/>
  <c r="CA30" i="1"/>
  <c r="BW38" i="1"/>
  <c r="E38" i="1"/>
  <c r="C70" i="1"/>
  <c r="E70" i="1" s="1"/>
  <c r="W38" i="1"/>
  <c r="U70" i="1"/>
  <c r="W70" i="1" s="1"/>
  <c r="AO38" i="1"/>
  <c r="AM70" i="1"/>
  <c r="AO70" i="1" s="1"/>
  <c r="BG38" i="1"/>
  <c r="BE70" i="1"/>
  <c r="BG70" i="1" s="1"/>
  <c r="BX30" i="1"/>
  <c r="J72" i="1"/>
  <c r="AB72" i="1"/>
  <c r="AT72" i="1"/>
  <c r="BL72" i="1"/>
  <c r="BW70" i="1"/>
  <c r="BX70" i="1"/>
  <c r="Q38" i="1"/>
  <c r="O70" i="1"/>
  <c r="Q70" i="1" s="1"/>
  <c r="Z70" i="1"/>
  <c r="AI38" i="1"/>
  <c r="AG70" i="1"/>
  <c r="AI70" i="1" s="1"/>
  <c r="BA38" i="1"/>
  <c r="AY70" i="1"/>
  <c r="BA70" i="1" s="1"/>
  <c r="BW30" i="1"/>
  <c r="BY12" i="1"/>
  <c r="BY16" i="1"/>
  <c r="CB58" i="1"/>
  <c r="F72" i="1"/>
  <c r="K38" i="1"/>
  <c r="I70" i="1"/>
  <c r="K70" i="1" s="1"/>
  <c r="AC38" i="1"/>
  <c r="AA70" i="1"/>
  <c r="AC70" i="1" s="1"/>
  <c r="AU38" i="1"/>
  <c r="AS70" i="1"/>
  <c r="AU70" i="1" s="1"/>
  <c r="G72" i="1"/>
  <c r="M8" i="1" s="1"/>
  <c r="M72" i="1" s="1"/>
  <c r="S8" i="1" s="1"/>
  <c r="S72" i="1" s="1"/>
  <c r="Y8" i="1" s="1"/>
  <c r="Y72" i="1" s="1"/>
  <c r="AE8" i="1" s="1"/>
  <c r="AE72" i="1" s="1"/>
  <c r="AK8" i="1" s="1"/>
  <c r="AK72" i="1" s="1"/>
  <c r="AQ8" i="1" s="1"/>
  <c r="AQ72" i="1" s="1"/>
  <c r="AW8" i="1" s="1"/>
  <c r="AW72" i="1" s="1"/>
  <c r="BC8" i="1" s="1"/>
  <c r="BC72" i="1" s="1"/>
  <c r="BI8" i="1" s="1"/>
  <c r="BI72" i="1" s="1"/>
  <c r="BO8" i="1" s="1"/>
  <c r="BO72" i="1" s="1"/>
  <c r="BU8" i="1" s="1"/>
  <c r="BU72" i="1" s="1"/>
  <c r="P72" i="1"/>
  <c r="AH72" i="1"/>
  <c r="AZ72" i="1"/>
  <c r="BX38" i="1"/>
  <c r="H58" i="1"/>
  <c r="BK70" i="1"/>
  <c r="BM70" i="1" s="1"/>
  <c r="BQ70" i="1"/>
  <c r="BS70" i="1" s="1"/>
  <c r="I72" i="1"/>
  <c r="U72" i="1"/>
  <c r="W72" i="1" s="1"/>
  <c r="AA72" i="1"/>
  <c r="AC72" i="1" s="1"/>
  <c r="AG72" i="1"/>
  <c r="AI72" i="1" s="1"/>
  <c r="AS72" i="1"/>
  <c r="AU72" i="1" s="1"/>
  <c r="AY72" i="1"/>
  <c r="BE72" i="1"/>
  <c r="BG72" i="1" s="1"/>
  <c r="BK72" i="1"/>
  <c r="BM72" i="1" s="1"/>
  <c r="BQ72" i="1"/>
  <c r="BZ38" i="1"/>
  <c r="BZ70" i="1" s="1"/>
  <c r="CA38" i="1"/>
  <c r="CA70" i="1" s="1"/>
  <c r="F70" i="1"/>
  <c r="H70" i="1" s="1"/>
  <c r="CB12" i="1"/>
  <c r="N38" i="1"/>
  <c r="T38" i="1"/>
  <c r="Z38" i="1"/>
  <c r="AF38" i="1"/>
  <c r="AL38" i="1"/>
  <c r="AR38" i="1"/>
  <c r="AX38" i="1"/>
  <c r="BD38" i="1"/>
  <c r="BJ38" i="1"/>
  <c r="BP38" i="1"/>
  <c r="BV38" i="1"/>
  <c r="BP48" i="1"/>
  <c r="BZ72" i="1" l="1"/>
  <c r="CB30" i="1"/>
  <c r="BS72" i="1"/>
  <c r="CA72" i="1"/>
  <c r="K72" i="1"/>
  <c r="H72" i="1"/>
  <c r="L8" i="1"/>
  <c r="CB38" i="1"/>
  <c r="AM72" i="1"/>
  <c r="AO72" i="1" s="1"/>
  <c r="C72" i="1"/>
  <c r="E72" i="1" s="1"/>
  <c r="BY70" i="1"/>
  <c r="BX72" i="1"/>
  <c r="BY30" i="1"/>
  <c r="BW72" i="1"/>
  <c r="BA72" i="1"/>
  <c r="O72" i="1"/>
  <c r="Q72" i="1" s="1"/>
  <c r="CB70" i="1"/>
  <c r="BY38" i="1"/>
  <c r="CB72" i="1" l="1"/>
  <c r="BY72" i="1"/>
  <c r="L72" i="1"/>
  <c r="N8" i="1"/>
  <c r="R8" i="1" l="1"/>
  <c r="N72" i="1"/>
  <c r="R72" i="1" l="1"/>
  <c r="T8" i="1"/>
  <c r="X8" i="1" l="1"/>
  <c r="T72" i="1"/>
  <c r="Z8" i="1" l="1"/>
  <c r="X72" i="1"/>
  <c r="Z72" i="1" l="1"/>
  <c r="AD8" i="1"/>
  <c r="AD72" i="1" l="1"/>
  <c r="AF8" i="1"/>
  <c r="AJ8" i="1" l="1"/>
  <c r="AF72" i="1"/>
  <c r="AJ72" i="1" l="1"/>
  <c r="AL8" i="1"/>
  <c r="AL72" i="1" l="1"/>
  <c r="AP8" i="1"/>
  <c r="AR8" i="1" l="1"/>
  <c r="AP72" i="1"/>
  <c r="AR72" i="1" l="1"/>
  <c r="AV8" i="1"/>
  <c r="AV72" i="1" l="1"/>
  <c r="AX8" i="1"/>
  <c r="BB8" i="1" l="1"/>
  <c r="AX72" i="1"/>
  <c r="BB72" i="1" l="1"/>
  <c r="BD8" i="1"/>
  <c r="BH8" i="1" l="1"/>
  <c r="BD72" i="1"/>
  <c r="BJ8" i="1" l="1"/>
  <c r="BH72" i="1"/>
  <c r="BJ72" i="1" l="1"/>
  <c r="BN8" i="1"/>
  <c r="BN72" i="1" l="1"/>
  <c r="BP8" i="1"/>
  <c r="BT8" i="1" l="1"/>
  <c r="BP72" i="1"/>
  <c r="BT72" i="1" l="1"/>
  <c r="BV72" i="1" s="1"/>
  <c r="BV8" i="1"/>
</calcChain>
</file>

<file path=xl/comments1.xml><?xml version="1.0" encoding="utf-8"?>
<comments xmlns="http://schemas.openxmlformats.org/spreadsheetml/2006/main">
  <authors>
    <author>User</author>
    <author>user</author>
  </authors>
  <commentList>
    <comment ref="BC14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продаж ФЕМ (12 шт. + профіль)</t>
        </r>
      </text>
    </comment>
    <comment ref="BI14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продаж ФЕМ (9 шт. + профіль)</t>
        </r>
      </text>
    </comment>
    <comment ref="AR22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ВДГ</t>
        </r>
      </text>
    </comment>
    <comment ref="AX22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ВДГ</t>
        </r>
      </text>
    </comment>
    <comment ref="BC22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ВДГ</t>
        </r>
      </text>
    </comment>
    <comment ref="BI22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ВДГ</t>
        </r>
      </text>
    </comment>
    <comment ref="BU24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повернення позики за кубову ємність</t>
        </r>
      </text>
    </comment>
    <comment ref="BH46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спец одяг</t>
        </r>
      </text>
    </comment>
    <comment ref="BI46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2232 - фазометр
2425 - тестер ФЕМ</t>
        </r>
      </text>
    </comment>
    <comment ref="AW48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доставка, монтаж і обслуговування люльки</t>
        </r>
      </text>
    </comment>
    <comment ref="BC48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21000 - доставка профіля (Дніпро)
2000 - налаштування люльки
4500 - проект СЕС ШаМо</t>
        </r>
      </text>
    </comment>
    <comment ref="BH48" authorId="1" shapeId="0">
      <text>
        <r>
          <rPr>
            <b/>
            <sz val="9"/>
            <rFont val="Arial"/>
            <family val="2"/>
            <charset val="204"/>
          </rPr>
          <t>user:</t>
        </r>
        <r>
          <rPr>
            <sz val="9"/>
            <rFont val="Arial"/>
            <family val="2"/>
            <charset val="204"/>
          </rPr>
          <t xml:space="preserve">
медок,.юрист,доставка товару</t>
        </r>
      </text>
    </comment>
    <comment ref="BI48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1658 - доставка інвертора
2000 - налаштування інвертора (інженер)
5000 - Білозір (підставки для перевезення ФЕМ)
750 - Білозір (отвори у пластинах)</t>
        </r>
      </text>
    </comment>
    <comment ref="BO48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7300 - доставка ФЕМ (Шацьк)
3755 - НП (доставка профіля
2056 - САТ (доставка профіля
400*2 - креслення ШаМо і ДКЗ</t>
        </r>
      </text>
    </comment>
    <comment ref="BU48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200 - креслення ШаМо
10000 - Білозір (виготовлення кріплень для ФЕМ) (Грушевського)</t>
        </r>
      </text>
    </comment>
    <comment ref="BO50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600 - логотип</t>
        </r>
      </text>
    </comment>
    <comment ref="AW52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доставка і перевезення ФЕМ</t>
        </r>
      </text>
    </comment>
    <comment ref="AQ57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2500 - відкриття юр. особи</t>
        </r>
      </text>
    </comment>
    <comment ref="AW57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700 - печатка</t>
        </r>
      </text>
    </comment>
    <comment ref="BC57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3600 - навіс над входом</t>
        </r>
      </text>
    </comment>
    <comment ref="BO57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4685 - Новорічні подарунки</t>
        </r>
      </text>
    </comment>
    <comment ref="BU57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793 - корпоратив</t>
        </r>
      </text>
    </comment>
    <comment ref="BC61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повернення позики ВДГ</t>
        </r>
      </text>
    </comment>
    <comment ref="BI61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повернення позики ВДГ</t>
        </r>
      </text>
    </comment>
    <comment ref="BT63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4493 - ВДГ (доставка куба)</t>
        </r>
      </text>
    </comment>
  </commentList>
</comments>
</file>

<file path=xl/sharedStrings.xml><?xml version="1.0" encoding="utf-8"?>
<sst xmlns="http://schemas.openxmlformats.org/spreadsheetml/2006/main" count="205" uniqueCount="92">
  <si>
    <t>"ЗАТВЕРДЖУЮ"</t>
  </si>
  <si>
    <t>Генеральний директор</t>
  </si>
  <si>
    <t>ТзОВ "Волвест Груп"</t>
  </si>
  <si>
    <t>. ______________</t>
  </si>
  <si>
    <t>Звіт про рух грошових коштів (КЕШ-ФЛО), грн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</si>
  <si>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</si>
  <si>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</si>
  <si>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</si>
  <si>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</si>
  <si>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</si>
  <si>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</si>
  <si>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</si>
  <si>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</si>
  <si>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</si>
  <si>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</si>
  <si>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</si>
  <si>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</si>
  <si>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Разом 2014</t>
  </si>
  <si>
    <t>Залишок на початок</t>
  </si>
  <si>
    <t>План</t>
  </si>
  <si>
    <t>Факт</t>
  </si>
  <si>
    <t>Код</t>
  </si>
  <si>
    <t>Стаття</t>
  </si>
  <si>
    <t>Банк + каса</t>
  </si>
  <si>
    <t>@</t>
  </si>
  <si>
    <t>Разом</t>
  </si>
  <si>
    <t>Надходження</t>
  </si>
  <si>
    <t>Дохід від реалізації продукції</t>
  </si>
  <si>
    <t>в т.ч. внутрішньогрупові доходи від реалізації продукції</t>
  </si>
  <si>
    <t>Дохід від реалізації товарів</t>
  </si>
  <si>
    <t>в т.ч. внутрішньогрупові доходи від реалізації товарів</t>
  </si>
  <si>
    <t>Дохід від реалізації послуг</t>
  </si>
  <si>
    <t>в т.ч. внутрішньогрупові доходи від реалізації послуг</t>
  </si>
  <si>
    <t>Дохід від оренди</t>
  </si>
  <si>
    <t>в т.ч. внутрішньогруповий дохід від оренди</t>
  </si>
  <si>
    <t>Інший дохід</t>
  </si>
  <si>
    <t>Отримання кредитів та позик</t>
  </si>
  <si>
    <t>Отримання фінансових позик</t>
  </si>
  <si>
    <t>в т.ч. внутрішньогрупове отримання фінансових позик</t>
  </si>
  <si>
    <t>Повернення фінансових позик</t>
  </si>
  <si>
    <t>в т.ч. внутрішньогрупове повернення фінансових позик</t>
  </si>
  <si>
    <t>Інші фінасові доходи (по ЦП, депозитах, дивідендах, внески)</t>
  </si>
  <si>
    <t>Реалізація необоротних активів</t>
  </si>
  <si>
    <t>Доходи від фінансових інвестицій</t>
  </si>
  <si>
    <t>Переміщення - прихід</t>
  </si>
  <si>
    <t>Всього</t>
  </si>
  <si>
    <t>Видатки</t>
  </si>
  <si>
    <t>Закупка товарів (сировини)</t>
  </si>
  <si>
    <t>в т.ч. внутрішньогрупова закупка товарів (сировини)</t>
  </si>
  <si>
    <t>Зарплата</t>
  </si>
  <si>
    <t>Податки по заробітній платі (утримання+нарахув.)</t>
  </si>
  <si>
    <t>Оренда</t>
  </si>
  <si>
    <t>в т.ч. внутрішньогрупова оренда</t>
  </si>
  <si>
    <t>Відсотки по кредитах банків</t>
  </si>
  <si>
    <t>124.1</t>
  </si>
  <si>
    <t>в т.ч. відсотки РФБА іпотечні</t>
  </si>
  <si>
    <t>124.2</t>
  </si>
  <si>
    <t>в т.ч. відсотки РФБА інший (кредитна лінія, овердрафт, авто)</t>
  </si>
  <si>
    <t>124.3</t>
  </si>
  <si>
    <t>в т.ч. відсотки інших банків іпотечні</t>
  </si>
  <si>
    <t>124.4</t>
  </si>
  <si>
    <t>в т.ч. відсотки інших банків (кредитна лінія, овердрафт, авто)</t>
  </si>
  <si>
    <t>Відсотки по кредитах внутрішніх</t>
  </si>
  <si>
    <t>Відсотки по кредитах венчурного фонду</t>
  </si>
  <si>
    <t>Енергоресурси та комунальні послуги</t>
  </si>
  <si>
    <t>Придбання ТМЦ (МШП, з/ч,  буд.матеріали, інш.)</t>
  </si>
  <si>
    <t>в т.ч. внутрішньогрупове придбання ТМЦ (МШП, з/ч,  буд.матеріали, інш.)</t>
  </si>
  <si>
    <t>Послуги сторонніх організацій</t>
  </si>
  <si>
    <t>в т.ч. внутрішньогрупові послуги сторонніх організацій</t>
  </si>
  <si>
    <t>Маркетинг та реклама</t>
  </si>
  <si>
    <t>в т.ч. внутрішньогруповий маркетинг та реклама</t>
  </si>
  <si>
    <t>Утримання автотранспорту (ПММ, ТО, з/ч, страхування, інш.)</t>
  </si>
  <si>
    <t>Ремонт та утримання ОЗ</t>
  </si>
  <si>
    <t>Банківські послуги</t>
  </si>
  <si>
    <t xml:space="preserve">Поточні офісні витрати (зв'язок, ІТ, періодика, інш) </t>
  </si>
  <si>
    <t>Податки і збори</t>
  </si>
  <si>
    <t>Інші операційні витрати</t>
  </si>
  <si>
    <t>Повернення кредитів та позик</t>
  </si>
  <si>
    <t>221.1</t>
  </si>
  <si>
    <t>в т.ч. повернення кредитів РФБА</t>
  </si>
  <si>
    <t>221.2</t>
  </si>
  <si>
    <t>в т.ч. повернення кредитів інших банків</t>
  </si>
  <si>
    <t>в т.ч. внутрішньогрупове повернення   фінансових позик</t>
  </si>
  <si>
    <t>Надання фінансових позик</t>
  </si>
  <si>
    <t>в т.ч. внутрішньогрупове надання фінансових позик</t>
  </si>
  <si>
    <t>Інші фінансові видатки (ЦП, дивіденди, дисконти, внески)</t>
  </si>
  <si>
    <t>Капітальні інвестиції</t>
  </si>
  <si>
    <t>в т.ч. внутрішньогрупові капітальні інвестиції</t>
  </si>
  <si>
    <t>Фінансові інвестиції</t>
  </si>
  <si>
    <t>Переміщення - розхід</t>
  </si>
  <si>
    <t>Залишок на кінець</t>
  </si>
  <si>
    <t>Разом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</si>
</sst>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р_._-;\-* #,##0.00_р_._-;_-* &quot;-&quot;??_р_._-;_-@_-"/>
    <numFmt numFmtId="165" formatCode="#,##0\ _г_р_н_."/>
    <numFmt numFmtId="166" formatCode="#,##0\ &quot;грн.&quot;"/>
  </numFmts>
  <fonts count="28" x14ac:knownFonts="1"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i/>
      <sz val="10"/>
      <name val="Arial Cyr"/>
      <family val="2"/>
      <charset val="204"/>
    </font>
    <font>
      <b/>
      <i/>
      <sz val="10"/>
      <name val="Times New Roman"/>
      <family val="1"/>
      <charset val="204"/>
    </font>
    <font>
      <b/>
      <sz val="10"/>
      <name val="Arial Cyr"/>
      <family val="2"/>
      <charset val="204"/>
    </font>
    <font>
      <b/>
      <sz val="14"/>
      <name val="Arial Cyr"/>
      <family val="2"/>
      <charset val="204"/>
    </font>
    <font>
      <b/>
      <u/>
      <sz val="10"/>
      <name val="Times New Roman"/>
      <family val="1"/>
      <charset val="204"/>
    </font>
    <font>
      <sz val="8"/>
      <name val="Arial"/>
      <family val="2"/>
      <charset val="204"/>
    </font>
    <font>
      <b/>
      <i/>
      <u/>
      <sz val="14"/>
      <color indexed="62"/>
      <name val="Times New Roman"/>
      <family val="1"/>
      <charset val="204"/>
    </font>
    <font>
      <sz val="6"/>
      <name val="Arial Cyr"/>
      <family val="2"/>
      <charset val="204"/>
    </font>
    <font>
      <b/>
      <i/>
      <sz val="10"/>
      <color indexed="12"/>
      <name val="Arial Cyr"/>
      <family val="2"/>
      <charset val="204"/>
    </font>
    <font>
      <b/>
      <i/>
      <sz val="12"/>
      <name val="Arial Cyr"/>
      <family val="2"/>
      <charset val="204"/>
    </font>
    <font>
      <b/>
      <sz val="11"/>
      <name val="Times New Roman"/>
      <family val="1"/>
      <charset val="204"/>
    </font>
    <font>
      <b/>
      <i/>
      <sz val="9"/>
      <name val="Arial Cyr"/>
      <family val="2"/>
      <charset val="204"/>
    </font>
    <font>
      <b/>
      <sz val="8"/>
      <name val="Times New Roman"/>
      <family val="1"/>
      <charset val="204"/>
    </font>
    <font>
      <b/>
      <i/>
      <sz val="12"/>
      <color indexed="12"/>
      <name val="Arial Cyr"/>
      <family val="2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i/>
      <sz val="9"/>
      <color rgb="FF0070C0"/>
      <name val="Times New Roman"/>
      <family val="1"/>
      <charset val="204"/>
    </font>
    <font>
      <sz val="8"/>
      <name val="Times New Roman"/>
      <family val="1"/>
      <charset val="204"/>
    </font>
    <font>
      <b/>
      <sz val="6"/>
      <name val="Arial Cyr"/>
      <family val="2"/>
      <charset val="204"/>
    </font>
    <font>
      <sz val="10"/>
      <color indexed="48"/>
      <name val="Arial Cyr"/>
      <family val="2"/>
      <charset val="204"/>
    </font>
    <font>
      <b/>
      <sz val="6"/>
      <color rgb="FF7030A0"/>
      <name val="Arial Cyr"/>
      <family val="2"/>
      <charset val="204"/>
    </font>
    <font>
      <b/>
      <sz val="10"/>
      <color rgb="FF7030A0"/>
      <name val="Arial Cyr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7" fillId="0" borderId="0">
      <alignment horizontal="left"/>
    </xf>
    <xf numFmtId="0" fontId="1" fillId="0" borderId="0"/>
    <xf numFmtId="0" fontId="1" fillId="0" borderId="0"/>
    <xf numFmtId="0" fontId="1" fillId="0" borderId="0"/>
  </cellStyleXfs>
  <cellXfs count="97">
    <xf numFmtId="0" fontId="0" fillId="0" borderId="0" xfId="0"/>
    <xf numFmtId="0" fontId="2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right"/>
    </xf>
    <xf numFmtId="164" fontId="0" fillId="0" borderId="0" xfId="0" applyNumberFormat="1" applyAlignment="1" applyProtection="1"/>
    <xf numFmtId="0" fontId="2" fillId="0" borderId="0" xfId="0" applyFont="1" applyAlignment="1" applyProtection="1">
      <alignment horizontal="right"/>
    </xf>
    <xf numFmtId="0" fontId="0" fillId="0" borderId="0" xfId="0" applyProtection="1"/>
    <xf numFmtId="164" fontId="0" fillId="0" borderId="0" xfId="0" applyNumberFormat="1" applyAlignment="1" applyProtection="1">
      <alignment wrapText="1"/>
    </xf>
    <xf numFmtId="0" fontId="2" fillId="0" borderId="0" xfId="0" applyFont="1" applyBorder="1" applyAlignment="1" applyProtection="1">
      <alignment horizontal="left"/>
    </xf>
    <xf numFmtId="0" fontId="4" fillId="0" borderId="0" xfId="0" applyFont="1" applyBorder="1" applyAlignment="1" applyProtection="1"/>
    <xf numFmtId="0" fontId="5" fillId="0" borderId="0" xfId="0" applyFont="1" applyBorder="1" applyAlignment="1" applyProtection="1"/>
    <xf numFmtId="165" fontId="0" fillId="0" borderId="0" xfId="0" applyNumberFormat="1" applyProtection="1"/>
    <xf numFmtId="3" fontId="0" fillId="0" borderId="0" xfId="0" applyNumberFormat="1" applyProtection="1"/>
    <xf numFmtId="0" fontId="2" fillId="0" borderId="0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164" fontId="2" fillId="0" borderId="0" xfId="0" applyNumberFormat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0" fontId="2" fillId="0" borderId="0" xfId="0" applyFont="1" applyBorder="1" applyAlignment="1" applyProtection="1">
      <alignment horizontal="center"/>
    </xf>
    <xf numFmtId="0" fontId="8" fillId="0" borderId="0" xfId="1" applyFont="1" applyFill="1" applyAlignment="1" applyProtection="1">
      <alignment horizontal="center" vertical="center" wrapText="1"/>
    </xf>
    <xf numFmtId="0" fontId="9" fillId="0" borderId="0" xfId="0" applyFont="1" applyBorder="1" applyProtection="1"/>
    <xf numFmtId="0" fontId="10" fillId="0" borderId="0" xfId="0" applyFont="1" applyBorder="1" applyAlignment="1" applyProtection="1">
      <alignment horizontal="right" wrapText="1"/>
    </xf>
    <xf numFmtId="165" fontId="0" fillId="0" borderId="4" xfId="0" applyNumberFormat="1" applyBorder="1" applyAlignment="1" applyProtection="1">
      <alignment horizontal="center"/>
      <protection locked="0"/>
    </xf>
    <xf numFmtId="165" fontId="0" fillId="0" borderId="4" xfId="0" applyNumberFormat="1" applyBorder="1" applyAlignment="1" applyProtection="1">
      <alignment horizontal="center"/>
    </xf>
    <xf numFmtId="0" fontId="9" fillId="6" borderId="5" xfId="0" applyFont="1" applyFill="1" applyBorder="1" applyProtection="1"/>
    <xf numFmtId="0" fontId="11" fillId="6" borderId="0" xfId="0" applyFont="1" applyFill="1" applyBorder="1" applyAlignment="1" applyProtection="1">
      <alignment horizontal="center" wrapText="1"/>
    </xf>
    <xf numFmtId="0" fontId="13" fillId="6" borderId="4" xfId="0" applyFont="1" applyFill="1" applyBorder="1" applyAlignment="1" applyProtection="1">
      <alignment horizontal="center" wrapText="1"/>
    </xf>
    <xf numFmtId="0" fontId="2" fillId="6" borderId="4" xfId="0" applyFont="1" applyFill="1" applyBorder="1" applyAlignment="1" applyProtection="1">
      <alignment horizontal="center" wrapText="1"/>
    </xf>
    <xf numFmtId="3" fontId="14" fillId="6" borderId="4" xfId="2" applyNumberFormat="1" applyFont="1" applyFill="1" applyBorder="1" applyAlignment="1" applyProtection="1">
      <alignment horizontal="center" vertical="center" wrapText="1"/>
    </xf>
    <xf numFmtId="165" fontId="14" fillId="6" borderId="4" xfId="2" applyNumberFormat="1" applyFont="1" applyFill="1" applyBorder="1" applyAlignment="1" applyProtection="1">
      <alignment horizontal="center" vertical="center" wrapText="1"/>
    </xf>
    <xf numFmtId="0" fontId="15" fillId="7" borderId="4" xfId="0" applyFont="1" applyFill="1" applyBorder="1" applyAlignment="1" applyProtection="1"/>
    <xf numFmtId="3" fontId="0" fillId="7" borderId="4" xfId="0" applyNumberFormat="1" applyFill="1" applyBorder="1" applyProtection="1"/>
    <xf numFmtId="3" fontId="0" fillId="7" borderId="4" xfId="0" applyNumberFormat="1" applyFill="1" applyBorder="1" applyAlignment="1" applyProtection="1">
      <alignment horizontal="center"/>
    </xf>
    <xf numFmtId="165" fontId="0" fillId="7" borderId="4" xfId="0" applyNumberFormat="1" applyFill="1" applyBorder="1" applyProtection="1"/>
    <xf numFmtId="0" fontId="16" fillId="0" borderId="4" xfId="1" applyFont="1" applyFill="1" applyBorder="1" applyAlignment="1" applyProtection="1">
      <alignment vertical="center"/>
    </xf>
    <xf numFmtId="0" fontId="17" fillId="0" borderId="4" xfId="1" applyFont="1" applyFill="1" applyBorder="1" applyAlignment="1" applyProtection="1">
      <alignment vertical="center" wrapText="1"/>
    </xf>
    <xf numFmtId="3" fontId="0" fillId="0" borderId="4" xfId="0" applyNumberFormat="1" applyFill="1" applyBorder="1" applyAlignment="1" applyProtection="1">
      <alignment horizontal="center"/>
      <protection locked="0"/>
    </xf>
    <xf numFmtId="3" fontId="0" fillId="0" borderId="4" xfId="0" applyNumberFormat="1" applyFill="1" applyBorder="1" applyAlignment="1" applyProtection="1">
      <alignment horizontal="center"/>
    </xf>
    <xf numFmtId="3" fontId="0" fillId="8" borderId="4" xfId="0" applyNumberFormat="1" applyFill="1" applyBorder="1" applyAlignment="1" applyProtection="1">
      <alignment horizontal="center"/>
      <protection locked="0"/>
    </xf>
    <xf numFmtId="0" fontId="18" fillId="0" borderId="4" xfId="1" applyFont="1" applyFill="1" applyBorder="1" applyAlignment="1" applyProtection="1">
      <alignment horizontal="right" vertical="center"/>
    </xf>
    <xf numFmtId="0" fontId="18" fillId="0" borderId="4" xfId="0" applyFont="1" applyBorder="1" applyAlignment="1" applyProtection="1">
      <alignment horizontal="right" wrapText="1"/>
    </xf>
    <xf numFmtId="3" fontId="18" fillId="0" borderId="4" xfId="0" applyNumberFormat="1" applyFont="1" applyFill="1" applyBorder="1" applyAlignment="1" applyProtection="1">
      <alignment horizontal="right" wrapText="1"/>
      <protection locked="0"/>
    </xf>
    <xf numFmtId="3" fontId="18" fillId="0" borderId="4" xfId="0" applyNumberFormat="1" applyFont="1" applyFill="1" applyBorder="1" applyAlignment="1" applyProtection="1">
      <alignment horizontal="right" wrapText="1"/>
    </xf>
    <xf numFmtId="3" fontId="18" fillId="8" borderId="4" xfId="0" applyNumberFormat="1" applyFont="1" applyFill="1" applyBorder="1" applyAlignment="1" applyProtection="1">
      <alignment horizontal="right" wrapText="1"/>
      <protection locked="0"/>
    </xf>
    <xf numFmtId="3" fontId="18" fillId="0" borderId="4" xfId="0" applyNumberFormat="1" applyFont="1" applyFill="1" applyBorder="1" applyAlignment="1" applyProtection="1">
      <alignment horizontal="right"/>
    </xf>
    <xf numFmtId="0" fontId="18" fillId="0" borderId="0" xfId="0" applyFont="1" applyAlignment="1" applyProtection="1">
      <alignment horizontal="right"/>
      <protection locked="0"/>
    </xf>
    <xf numFmtId="3" fontId="17" fillId="0" borderId="4" xfId="1" applyNumberFormat="1" applyFont="1" applyFill="1" applyBorder="1" applyAlignment="1" applyProtection="1">
      <alignment horizontal="center" vertical="center" wrapText="1"/>
      <protection locked="0"/>
    </xf>
    <xf numFmtId="3" fontId="17" fillId="0" borderId="4" xfId="1" applyNumberFormat="1" applyFont="1" applyFill="1" applyBorder="1" applyAlignment="1" applyProtection="1">
      <alignment horizontal="center" vertical="center" wrapText="1"/>
    </xf>
    <xf numFmtId="3" fontId="17" fillId="8" borderId="4" xfId="1" applyNumberFormat="1" applyFont="1" applyFill="1" applyBorder="1" applyAlignment="1" applyProtection="1">
      <alignment horizontal="center" vertical="center" wrapText="1"/>
      <protection locked="0"/>
    </xf>
    <xf numFmtId="3" fontId="16" fillId="8" borderId="4" xfId="1" applyNumberFormat="1" applyFont="1" applyFill="1" applyBorder="1" applyAlignment="1" applyProtection="1">
      <alignment horizontal="center" vertical="center" wrapText="1"/>
      <protection locked="0"/>
    </xf>
    <xf numFmtId="0" fontId="16" fillId="0" borderId="4" xfId="1" applyFont="1" applyFill="1" applyBorder="1" applyAlignment="1" applyProtection="1">
      <alignment vertical="center" wrapText="1"/>
    </xf>
    <xf numFmtId="3" fontId="16" fillId="0" borderId="4" xfId="1" applyNumberFormat="1" applyFont="1" applyFill="1" applyBorder="1" applyAlignment="1" applyProtection="1">
      <alignment horizontal="center" vertical="center" wrapText="1"/>
      <protection locked="0"/>
    </xf>
    <xf numFmtId="3" fontId="19" fillId="0" borderId="4" xfId="1" applyNumberFormat="1" applyFont="1" applyFill="1" applyBorder="1" applyAlignment="1" applyProtection="1">
      <alignment horizontal="center" vertical="center" wrapText="1"/>
      <protection locked="0"/>
    </xf>
    <xf numFmtId="3" fontId="16" fillId="0" borderId="4" xfId="1" applyNumberFormat="1" applyFont="1" applyFill="1" applyBorder="1" applyAlignment="1" applyProtection="1">
      <alignment horizontal="center" vertical="center" wrapText="1"/>
    </xf>
    <xf numFmtId="0" fontId="20" fillId="0" borderId="4" xfId="0" applyFont="1" applyBorder="1" applyProtection="1"/>
    <xf numFmtId="0" fontId="4" fillId="0" borderId="4" xfId="0" applyFont="1" applyBorder="1" applyAlignment="1" applyProtection="1">
      <alignment wrapText="1"/>
    </xf>
    <xf numFmtId="3" fontId="4" fillId="0" borderId="4" xfId="0" applyNumberFormat="1" applyFont="1" applyBorder="1" applyAlignment="1" applyProtection="1">
      <alignment horizontal="center"/>
    </xf>
    <xf numFmtId="3" fontId="4" fillId="0" borderId="4" xfId="0" applyNumberFormat="1" applyFont="1" applyFill="1" applyBorder="1" applyAlignment="1" applyProtection="1">
      <alignment horizontal="center"/>
    </xf>
    <xf numFmtId="0" fontId="4" fillId="0" borderId="0" xfId="0" applyFont="1" applyProtection="1"/>
    <xf numFmtId="3" fontId="15" fillId="7" borderId="4" xfId="0" applyNumberFormat="1" applyFont="1" applyFill="1" applyBorder="1" applyAlignment="1" applyProtection="1"/>
    <xf numFmtId="3" fontId="18" fillId="0" borderId="4" xfId="0" applyNumberFormat="1" applyFont="1" applyBorder="1" applyAlignment="1" applyProtection="1">
      <alignment horizontal="right" wrapText="1"/>
      <protection locked="0"/>
    </xf>
    <xf numFmtId="3" fontId="18" fillId="0" borderId="4" xfId="0" applyNumberFormat="1" applyFont="1" applyBorder="1" applyAlignment="1" applyProtection="1">
      <alignment horizontal="right" wrapText="1"/>
    </xf>
    <xf numFmtId="0" fontId="16" fillId="0" borderId="4" xfId="1" applyFont="1" applyFill="1" applyBorder="1" applyAlignment="1" applyProtection="1">
      <alignment horizontal="right" vertical="center"/>
    </xf>
    <xf numFmtId="3" fontId="19" fillId="8" borderId="4" xfId="1" applyNumberFormat="1" applyFont="1" applyFill="1" applyBorder="1" applyAlignment="1" applyProtection="1">
      <alignment horizontal="center" vertical="center" wrapText="1"/>
      <protection locked="0"/>
    </xf>
    <xf numFmtId="3" fontId="18" fillId="0" borderId="4" xfId="3" applyNumberFormat="1" applyFont="1" applyBorder="1" applyAlignment="1" applyProtection="1">
      <alignment horizontal="right" wrapText="1"/>
      <protection locked="0"/>
    </xf>
    <xf numFmtId="0" fontId="17" fillId="9" borderId="4" xfId="1" applyFont="1" applyFill="1" applyBorder="1" applyAlignment="1" applyProtection="1">
      <alignment vertical="center" wrapText="1"/>
    </xf>
    <xf numFmtId="3" fontId="19" fillId="0" borderId="4" xfId="1" applyNumberFormat="1" applyFont="1" applyFill="1" applyBorder="1" applyAlignment="1" applyProtection="1">
      <alignment horizontal="center" vertical="center" wrapText="1"/>
    </xf>
    <xf numFmtId="0" fontId="18" fillId="0" borderId="4" xfId="1" applyFont="1" applyFill="1" applyBorder="1" applyAlignment="1" applyProtection="1">
      <alignment horizontal="right" vertical="center" wrapText="1"/>
    </xf>
    <xf numFmtId="3" fontId="18" fillId="9" borderId="4" xfId="1" applyNumberFormat="1" applyFont="1" applyFill="1" applyBorder="1" applyAlignment="1" applyProtection="1">
      <alignment horizontal="right" vertical="center" wrapText="1"/>
      <protection locked="0"/>
    </xf>
    <xf numFmtId="3" fontId="19" fillId="0" borderId="4" xfId="1" applyNumberFormat="1" applyFont="1" applyFill="1" applyBorder="1" applyAlignment="1" applyProtection="1">
      <alignment horizontal="center" vertical="center"/>
      <protection locked="0"/>
    </xf>
    <xf numFmtId="3" fontId="21" fillId="0" borderId="4" xfId="0" applyNumberFormat="1" applyFont="1" applyBorder="1" applyAlignment="1" applyProtection="1">
      <alignment horizontal="center" wrapText="1"/>
    </xf>
    <xf numFmtId="0" fontId="17" fillId="0" borderId="4" xfId="1" applyFont="1" applyFill="1" applyBorder="1" applyAlignment="1" applyProtection="1">
      <alignment horizontal="left" vertical="center"/>
    </xf>
    <xf numFmtId="3" fontId="19" fillId="9" borderId="4" xfId="1" applyNumberFormat="1" applyFont="1" applyFill="1" applyBorder="1" applyAlignment="1" applyProtection="1">
      <alignment horizontal="center" vertical="center" wrapText="1"/>
      <protection locked="0"/>
    </xf>
    <xf numFmtId="3" fontId="17" fillId="0" borderId="4" xfId="1" applyNumberFormat="1" applyFont="1" applyFill="1" applyBorder="1" applyAlignment="1" applyProtection="1">
      <alignment horizontal="center" vertical="center"/>
    </xf>
    <xf numFmtId="166" fontId="18" fillId="0" borderId="4" xfId="1" applyNumberFormat="1" applyFont="1" applyFill="1" applyBorder="1" applyAlignment="1" applyProtection="1">
      <alignment horizontal="right" vertical="center"/>
    </xf>
    <xf numFmtId="0" fontId="9" fillId="0" borderId="4" xfId="0" applyFont="1" applyBorder="1" applyAlignment="1" applyProtection="1"/>
    <xf numFmtId="3" fontId="9" fillId="0" borderId="4" xfId="0" applyNumberFormat="1" applyFont="1" applyBorder="1" applyAlignment="1" applyProtection="1">
      <alignment horizontal="center"/>
      <protection locked="0"/>
    </xf>
    <xf numFmtId="3" fontId="9" fillId="0" borderId="4" xfId="0" applyNumberFormat="1" applyFont="1" applyBorder="1" applyAlignment="1" applyProtection="1">
      <alignment horizontal="center"/>
    </xf>
    <xf numFmtId="0" fontId="22" fillId="7" borderId="4" xfId="0" applyFont="1" applyFill="1" applyBorder="1" applyProtection="1"/>
    <xf numFmtId="3" fontId="23" fillId="7" borderId="4" xfId="0" applyNumberFormat="1" applyFont="1" applyFill="1" applyBorder="1" applyAlignment="1" applyProtection="1">
      <alignment horizontal="center"/>
    </xf>
    <xf numFmtId="165" fontId="23" fillId="7" borderId="4" xfId="0" applyNumberFormat="1" applyFont="1" applyFill="1" applyBorder="1" applyAlignment="1" applyProtection="1">
      <alignment horizontal="center"/>
    </xf>
    <xf numFmtId="0" fontId="23" fillId="0" borderId="0" xfId="0" applyFont="1" applyProtection="1"/>
    <xf numFmtId="0" fontId="9" fillId="0" borderId="0" xfId="0" applyFont="1" applyProtection="1">
      <protection locked="0"/>
    </xf>
    <xf numFmtId="0" fontId="0" fillId="0" borderId="0" xfId="0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horizontal="center"/>
    </xf>
    <xf numFmtId="0" fontId="2" fillId="3" borderId="2" xfId="0" applyFont="1" applyFill="1" applyBorder="1" applyAlignment="1" applyProtection="1">
      <alignment horizontal="center"/>
    </xf>
    <xf numFmtId="0" fontId="2" fillId="3" borderId="3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4" borderId="1" xfId="0" applyFont="1" applyFill="1" applyBorder="1" applyAlignment="1" applyProtection="1">
      <alignment horizontal="center"/>
    </xf>
    <xf numFmtId="0" fontId="2" fillId="4" borderId="2" xfId="0" applyFont="1" applyFill="1" applyBorder="1" applyAlignment="1" applyProtection="1">
      <alignment horizontal="center"/>
    </xf>
    <xf numFmtId="0" fontId="2" fillId="4" borderId="3" xfId="0" applyFont="1" applyFill="1" applyBorder="1" applyAlignment="1" applyProtection="1">
      <alignment horizontal="center"/>
    </xf>
    <xf numFmtId="0" fontId="2" fillId="5" borderId="1" xfId="0" applyFont="1" applyFill="1" applyBorder="1" applyAlignment="1" applyProtection="1">
      <alignment horizontal="center"/>
    </xf>
    <xf numFmtId="0" fontId="2" fillId="5" borderId="2" xfId="0" applyFont="1" applyFill="1" applyBorder="1" applyAlignment="1" applyProtection="1">
      <alignment horizontal="center"/>
    </xf>
    <xf numFmtId="0" fontId="2" fillId="5" borderId="3" xfId="0" applyFont="1" applyFill="1" applyBorder="1" applyAlignment="1" applyProtection="1">
      <alignment horizontal="center"/>
    </xf>
    <xf numFmtId="165" fontId="12" fillId="6" borderId="6" xfId="2" applyNumberFormat="1" applyFont="1" applyFill="1" applyBorder="1" applyAlignment="1" applyProtection="1">
      <alignment horizontal="center" vertical="center" wrapText="1"/>
    </xf>
    <xf numFmtId="0" fontId="16" fillId="0" borderId="4" xfId="4" applyFont="1" applyBorder="1" applyAlignment="1" applyProtection="1">
      <alignment horizontal="center"/>
      <protection locked="0"/>
    </xf>
  </cellXfs>
  <cellStyles count="5">
    <cellStyle name="Обычный" xfId="0" builtinId="0"/>
    <cellStyle name="Обычный_Otchet_формы_кварт_Dovidnyk Dohodiv_Vytrat_Дистрибуц_я Зведений 2" xfId="2"/>
    <cellStyle name="Обычный_PLAN_FACT_FIRMA_2010" xfId="3"/>
    <cellStyle name="Обычный_Додаток_1_2_3" xfId="4"/>
    <cellStyle name="Обычный_Лист1" xfId="1"/>
  </cellStyles>
  <dxfs count="6">
    <dxf>
      <font>
        <b val="0"/>
        <condense val="0"/>
        <extend val="0"/>
        <color indexed="60"/>
      </font>
    </dxf>
    <dxf>
      <font>
        <b val="0"/>
        <condense val="0"/>
        <extend val="0"/>
        <color indexed="60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kf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ASHA\MyDocs\!work!\Zvity\Lkfact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ASHA\MyDocs\Documents%20and%20Settings\Alex.Yakimenko\&#1052;&#1086;&#1080;%20&#1076;&#1086;&#1082;&#1091;&#1084;&#1077;&#1085;&#1090;&#1099;\Contynium\Chernivci\2003\September\Documents%20and%20Settings\&#1040;&#1076;&#1084;&#1080;&#1085;&#1080;&#1089;&#1090;&#1088;&#1072;&#1090;&#1086;&#1088;\&#1052;&#1086;&#1080;%20&#1076;&#1086;&#1082;&#1091;&#1084;&#1077;&#1085;&#1090;&#1099;\&#1055;&#1083;&#1072;&#1085;&#1086;&#1074;&#1080;&#1081;\Continium\Lutsk\2003\May\Lkfact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west-8073932\&#1076;&#1086;&#1082;&#1091;&#1084;&#1077;&#1085;&#1090;&#1099;\Documents%20and%20Settings\User\&#1056;&#1072;&#1073;&#1086;&#1095;&#1080;&#1081;%20&#1089;&#1090;&#1086;&#1083;\VOLWEST_GROUP\ECONOMIC\ANNUAL%20PLAN\2008\SID_2008\PLAN_SID_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ramel Vyr Price"/>
      <sheetName val="EXP08"/>
      <sheetName val="v"/>
      <sheetName val="r"/>
      <sheetName val="Real-Indicators"/>
      <sheetName val="Real-Unity"/>
      <sheetName val="Product-Indicators"/>
      <sheetName val="Product-Unity"/>
      <sheetName val="STORES"/>
      <sheetName val="Sweet Vyr Price"/>
      <sheetName val="Bisquet Vyr Price"/>
      <sheetName val="Karamel Real Price"/>
      <sheetName val="Sweet Real Price"/>
      <sheetName val="Bisquet Real Price"/>
      <sheetName val="k"/>
      <sheetName val="s"/>
      <sheetName val="b"/>
      <sheetName val="6 Budg Prod"/>
      <sheetName val="Price Karamel"/>
      <sheetName val="Price Sweet"/>
      <sheetName val="Price Bisquet"/>
      <sheetName val="FORMA"/>
      <sheetName val="VvodPrice"/>
      <sheetName val="CVP Karamel"/>
      <sheetName val="CVP Sweet (1)"/>
      <sheetName val="CVP Sweet (2)"/>
      <sheetName val="CVP marmelad Bisquet"/>
      <sheetName val="PRICES"/>
      <sheetName val="Glazuri"/>
      <sheetName val="Praline"/>
      <sheetName val="1 Raw Material"/>
      <sheetName val="2 Raw Material"/>
      <sheetName val="RawPlan"/>
      <sheetName val="Additional  Material"/>
      <sheetName val="Tara"/>
      <sheetName val="EXPORT"/>
      <sheetName val="EXPORT (2)"/>
      <sheetName val="EXPORT (3)"/>
      <sheetName val="EXPORT (4)"/>
      <sheetName val="EXPORT (5)"/>
      <sheetName val="EXPORT (6)"/>
      <sheetName val="Product-In"/>
      <sheetName val="6 Turnover Prod (K)"/>
      <sheetName val="6 Turnover Prod (Sw)"/>
      <sheetName val="6 Turnover Prod (Bs)"/>
      <sheetName val="1"/>
      <sheetName val="Bisquet Plan Price"/>
      <sheetName val="Sweet Plan Price"/>
    </sheetNames>
    <sheetDataSet>
      <sheetData sheetId="0" refreshError="1">
        <row r="81">
          <cell r="R81">
            <v>593.16119908664018</v>
          </cell>
        </row>
        <row r="82">
          <cell r="R82">
            <v>526.69568757756406</v>
          </cell>
        </row>
        <row r="83">
          <cell r="R83">
            <v>404.22512468450634</v>
          </cell>
        </row>
        <row r="84">
          <cell r="R84">
            <v>967.17377296476502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eet Plan Price"/>
      <sheetName val="Bisquet Plan Price"/>
      <sheetName val="U-Indicators"/>
      <sheetName val="CVP Karamel"/>
      <sheetName val="Unity  Fixed"/>
      <sheetName val="SHOPS"/>
      <sheetName val="Karamel"/>
      <sheetName val="Sweet"/>
      <sheetName val="Bisquet"/>
      <sheetName val="REALG (2)"/>
      <sheetName val="Karamel Plan Price"/>
      <sheetName val="BAZA"/>
      <sheetName val="VvodPrice"/>
      <sheetName val="CVP Sweet (1)"/>
      <sheetName val="CVP Sweet (2)"/>
      <sheetName val="CVP marmelad Bisquet"/>
      <sheetName val="PRICES"/>
      <sheetName val="Glazuri"/>
      <sheetName val="Tarniy"/>
      <sheetName val="BOX"/>
      <sheetName val="Praline"/>
      <sheetName val="Praline2"/>
      <sheetName val="1 Raw Material"/>
      <sheetName val="2 Raw Material"/>
      <sheetName val="RawPlan"/>
      <sheetName val="Additional  Material"/>
      <sheetName val="Tara"/>
      <sheetName val="EXPORT"/>
      <sheetName val="EXPORT (2)"/>
      <sheetName val="EXPORT (3)"/>
      <sheetName val="EXPORT (4)"/>
      <sheetName val="EXPORT (5)"/>
      <sheetName val="EXPORT (6)"/>
      <sheetName val="Karamel Vyr Price"/>
    </sheetNames>
    <sheetDataSet>
      <sheetData sheetId="0" refreshError="1">
        <row r="5">
          <cell r="R5">
            <v>4938.6325604422682</v>
          </cell>
        </row>
        <row r="6">
          <cell r="R6">
            <v>1767.5521883599272</v>
          </cell>
        </row>
        <row r="7">
          <cell r="R7">
            <v>1891.6019547022054</v>
          </cell>
        </row>
        <row r="8">
          <cell r="R8">
            <v>2398.6751266357828</v>
          </cell>
        </row>
        <row r="9">
          <cell r="R9">
            <v>3077.6196477838989</v>
          </cell>
        </row>
        <row r="10">
          <cell r="R10">
            <v>4430.5304277993519</v>
          </cell>
        </row>
        <row r="11">
          <cell r="R11">
            <v>3027.8505922434633</v>
          </cell>
        </row>
        <row r="12">
          <cell r="R12">
            <v>1372.4531423693991</v>
          </cell>
        </row>
        <row r="13">
          <cell r="R13">
            <v>2956.6765768610858</v>
          </cell>
        </row>
        <row r="14">
          <cell r="R14">
            <v>2886.9653342991533</v>
          </cell>
        </row>
        <row r="15">
          <cell r="R15">
            <v>3015.2477483955317</v>
          </cell>
        </row>
        <row r="16">
          <cell r="R16">
            <v>2753.5767316984525</v>
          </cell>
        </row>
        <row r="17">
          <cell r="R17">
            <v>1740.6930509352701</v>
          </cell>
        </row>
        <row r="18">
          <cell r="R18">
            <v>1301.0133932390961</v>
          </cell>
        </row>
        <row r="19">
          <cell r="R19">
            <v>2496.7572986681103</v>
          </cell>
        </row>
        <row r="20">
          <cell r="R20">
            <v>2666.1400701830353</v>
          </cell>
        </row>
        <row r="21">
          <cell r="R21">
            <v>3431.5284651109851</v>
          </cell>
        </row>
        <row r="22">
          <cell r="R22">
            <v>4844.6102838502147</v>
          </cell>
        </row>
        <row r="23">
          <cell r="R23">
            <v>3252.5628819015556</v>
          </cell>
        </row>
        <row r="24">
          <cell r="R24">
            <v>4247.0892415208737</v>
          </cell>
        </row>
        <row r="25">
          <cell r="R25">
            <v>3299.5699235300631</v>
          </cell>
        </row>
        <row r="26">
          <cell r="R26">
            <v>4044.7022969232535</v>
          </cell>
        </row>
        <row r="27">
          <cell r="R27">
            <v>3362.9144005800908</v>
          </cell>
        </row>
        <row r="28">
          <cell r="R28">
            <v>3366.2185181166969</v>
          </cell>
        </row>
        <row r="29">
          <cell r="R29">
            <v>2875.586600257936</v>
          </cell>
        </row>
        <row r="30">
          <cell r="R30">
            <v>3169.0767975976378</v>
          </cell>
        </row>
        <row r="31">
          <cell r="R31">
            <v>3037.5277161745698</v>
          </cell>
        </row>
        <row r="32">
          <cell r="R32">
            <v>3234.2850148096077</v>
          </cell>
        </row>
        <row r="33">
          <cell r="R33">
            <v>3239.4974775570277</v>
          </cell>
        </row>
        <row r="34">
          <cell r="R34">
            <v>3095.2023768018503</v>
          </cell>
        </row>
        <row r="35">
          <cell r="R35">
            <v>3988.4923246579551</v>
          </cell>
        </row>
        <row r="36">
          <cell r="R36">
            <v>2469.3108492294155</v>
          </cell>
        </row>
        <row r="37">
          <cell r="R37">
            <v>1779.4892403695401</v>
          </cell>
        </row>
        <row r="38">
          <cell r="R38">
            <v>1772.4213634054129</v>
          </cell>
        </row>
        <row r="39">
          <cell r="R39">
            <v>1747.7376890163894</v>
          </cell>
        </row>
        <row r="40">
          <cell r="R40">
            <v>1543.7165147582396</v>
          </cell>
        </row>
        <row r="41">
          <cell r="R41">
            <v>3694.3305855243834</v>
          </cell>
        </row>
        <row r="42">
          <cell r="R42">
            <v>3121.9157056052545</v>
          </cell>
        </row>
        <row r="43">
          <cell r="R43">
            <v>3323.4707962254529</v>
          </cell>
        </row>
        <row r="44">
          <cell r="R44">
            <v>3992.7735824190963</v>
          </cell>
        </row>
        <row r="45">
          <cell r="R45">
            <v>2913.837916687246</v>
          </cell>
        </row>
        <row r="46">
          <cell r="R46">
            <v>2303.8125745692996</v>
          </cell>
        </row>
        <row r="47">
          <cell r="R47">
            <v>2309.1288149432321</v>
          </cell>
        </row>
        <row r="48">
          <cell r="R48">
            <v>3254.0079740553092</v>
          </cell>
        </row>
        <row r="49">
          <cell r="R49">
            <v>1739.346449278914</v>
          </cell>
        </row>
        <row r="50">
          <cell r="R50">
            <v>1714.8136910968522</v>
          </cell>
        </row>
        <row r="51">
          <cell r="R51">
            <v>1567.2072907797615</v>
          </cell>
        </row>
        <row r="52">
          <cell r="R52">
            <v>2768.5876925153493</v>
          </cell>
        </row>
        <row r="53">
          <cell r="R53">
            <v>2567.3931614295388</v>
          </cell>
        </row>
        <row r="54">
          <cell r="R54">
            <v>3626.3390823168438</v>
          </cell>
        </row>
        <row r="55">
          <cell r="R55">
            <v>2481.5047403078506</v>
          </cell>
        </row>
        <row r="56">
          <cell r="R56">
            <v>2709.3029486465043</v>
          </cell>
        </row>
        <row r="57">
          <cell r="R57">
            <v>2807.2632999108014</v>
          </cell>
        </row>
        <row r="58">
          <cell r="R58">
            <v>3814.4484219087194</v>
          </cell>
        </row>
        <row r="59">
          <cell r="R59">
            <v>4409.2089665111816</v>
          </cell>
        </row>
        <row r="60">
          <cell r="R60">
            <v>3432.837799541152</v>
          </cell>
        </row>
        <row r="63">
          <cell r="R63">
            <v>656.58677039618033</v>
          </cell>
        </row>
        <row r="66">
          <cell r="R66">
            <v>1404.4860644044977</v>
          </cell>
        </row>
        <row r="67">
          <cell r="R67">
            <v>1908.1364794443043</v>
          </cell>
        </row>
        <row r="68">
          <cell r="R68">
            <v>805.37870386668055</v>
          </cell>
        </row>
        <row r="69">
          <cell r="R69">
            <v>845.11277791244481</v>
          </cell>
        </row>
        <row r="70">
          <cell r="R70">
            <v>804.24569846429131</v>
          </cell>
        </row>
        <row r="71">
          <cell r="R71">
            <v>843.9345428454202</v>
          </cell>
        </row>
        <row r="72">
          <cell r="R72">
            <v>804.61623117836871</v>
          </cell>
        </row>
        <row r="73">
          <cell r="R73">
            <v>844.31120006716833</v>
          </cell>
        </row>
        <row r="74">
          <cell r="R74">
            <v>808.66890696388919</v>
          </cell>
        </row>
        <row r="75">
          <cell r="R75">
            <v>848.45736453192148</v>
          </cell>
        </row>
        <row r="76">
          <cell r="R76">
            <v>803.90480117235973</v>
          </cell>
        </row>
        <row r="77">
          <cell r="R77">
            <v>843.61271663862078</v>
          </cell>
        </row>
        <row r="78">
          <cell r="R78">
            <v>1169.8618122658397</v>
          </cell>
        </row>
        <row r="79">
          <cell r="R79">
            <v>880.39294029286953</v>
          </cell>
        </row>
        <row r="80">
          <cell r="R80">
            <v>974.25899817585173</v>
          </cell>
        </row>
        <row r="81">
          <cell r="R81">
            <v>2485.0461096988333</v>
          </cell>
        </row>
        <row r="82">
          <cell r="R82">
            <v>1365.5710859865715</v>
          </cell>
        </row>
        <row r="83">
          <cell r="R83">
            <v>1355.9581706651729</v>
          </cell>
        </row>
        <row r="84">
          <cell r="R84">
            <v>2600.4650541038054</v>
          </cell>
        </row>
        <row r="85">
          <cell r="R85">
            <v>1205.94651920604</v>
          </cell>
        </row>
        <row r="86">
          <cell r="R86">
            <v>1004.2317653401159</v>
          </cell>
        </row>
        <row r="87">
          <cell r="R87">
            <v>856.06265398475955</v>
          </cell>
        </row>
        <row r="88">
          <cell r="R88">
            <v>857.22165564087561</v>
          </cell>
        </row>
        <row r="89">
          <cell r="R89">
            <v>863.4259113331982</v>
          </cell>
        </row>
        <row r="90">
          <cell r="R90">
            <v>857.48511695670277</v>
          </cell>
        </row>
        <row r="91">
          <cell r="R91">
            <v>857.45928741593548</v>
          </cell>
        </row>
        <row r="92">
          <cell r="R92">
            <v>1142.4371242243235</v>
          </cell>
        </row>
        <row r="93">
          <cell r="R93">
            <v>1615.7881630044283</v>
          </cell>
        </row>
        <row r="94">
          <cell r="R94">
            <v>995.88036844475869</v>
          </cell>
        </row>
        <row r="95">
          <cell r="R95">
            <v>1461.4237848440989</v>
          </cell>
        </row>
        <row r="96">
          <cell r="R96">
            <v>966.26744520633372</v>
          </cell>
        </row>
        <row r="97">
          <cell r="R97">
            <v>1016.0557290993436</v>
          </cell>
        </row>
        <row r="98">
          <cell r="R98">
            <v>1808.6617179447596</v>
          </cell>
        </row>
        <row r="99">
          <cell r="R99">
            <v>943.32171965328746</v>
          </cell>
        </row>
        <row r="100">
          <cell r="R100">
            <v>1206.7655803361622</v>
          </cell>
        </row>
        <row r="101">
          <cell r="R101">
            <v>1379.0958980856619</v>
          </cell>
        </row>
        <row r="102">
          <cell r="R102">
            <v>1231.0891314694654</v>
          </cell>
        </row>
        <row r="103">
          <cell r="R103">
            <v>1212.3869944184605</v>
          </cell>
        </row>
        <row r="110">
          <cell r="R110">
            <v>761.89633441020487</v>
          </cell>
        </row>
        <row r="111">
          <cell r="R111">
            <v>777.90084126061754</v>
          </cell>
        </row>
        <row r="112">
          <cell r="R112">
            <v>860.8197411789439</v>
          </cell>
        </row>
        <row r="113">
          <cell r="R113">
            <v>1465.4689730592424</v>
          </cell>
        </row>
        <row r="116">
          <cell r="R116">
            <v>763.47641220125956</v>
          </cell>
        </row>
        <row r="119">
          <cell r="R119">
            <v>828.29134422069956</v>
          </cell>
        </row>
        <row r="122">
          <cell r="R122">
            <v>838.60372969349805</v>
          </cell>
        </row>
        <row r="123">
          <cell r="R123">
            <v>1366.3341053790602</v>
          </cell>
        </row>
        <row r="124">
          <cell r="R124">
            <v>559.8413997301609</v>
          </cell>
        </row>
        <row r="125">
          <cell r="R125">
            <v>809.06366297332568</v>
          </cell>
        </row>
        <row r="126">
          <cell r="R126">
            <v>536.05371322553867</v>
          </cell>
        </row>
        <row r="127">
          <cell r="R127">
            <v>742.34036331910409</v>
          </cell>
        </row>
      </sheetData>
      <sheetData sheetId="1" refreshError="1">
        <row r="5">
          <cell r="R5">
            <v>1296.8337670529406</v>
          </cell>
        </row>
        <row r="6">
          <cell r="R6">
            <v>1279.8435184993373</v>
          </cell>
        </row>
        <row r="7">
          <cell r="R7">
            <v>1244.2621470368131</v>
          </cell>
        </row>
        <row r="8">
          <cell r="R8">
            <v>1253.2521192492948</v>
          </cell>
        </row>
        <row r="9">
          <cell r="R9">
            <v>1232.0105849355957</v>
          </cell>
        </row>
        <row r="10">
          <cell r="R10">
            <v>1215.7420872363505</v>
          </cell>
        </row>
        <row r="11">
          <cell r="R11">
            <v>1472.1879545720235</v>
          </cell>
        </row>
        <row r="12">
          <cell r="R12">
            <v>1792.4838864223543</v>
          </cell>
        </row>
        <row r="13">
          <cell r="R13">
            <v>1764.3725717011639</v>
          </cell>
        </row>
        <row r="14">
          <cell r="R14">
            <v>1745.2598083290954</v>
          </cell>
        </row>
        <row r="15">
          <cell r="R15">
            <v>1708.4074699094065</v>
          </cell>
        </row>
        <row r="16">
          <cell r="R16">
            <v>1712.3135742932286</v>
          </cell>
        </row>
        <row r="17">
          <cell r="R17">
            <v>1691.0720399795298</v>
          </cell>
        </row>
        <row r="18">
          <cell r="R18">
            <v>1674.803542280285</v>
          </cell>
        </row>
        <row r="19">
          <cell r="R19">
            <v>1647.1725254018734</v>
          </cell>
        </row>
        <row r="20">
          <cell r="R20">
            <v>1563.9210770011407</v>
          </cell>
        </row>
        <row r="21">
          <cell r="R21">
            <v>1177.4733050599937</v>
          </cell>
        </row>
        <row r="22">
          <cell r="R22">
            <v>1242.1607959898404</v>
          </cell>
        </row>
        <row r="23">
          <cell r="R23">
            <v>1223.0480326177719</v>
          </cell>
        </row>
        <row r="24">
          <cell r="R24">
            <v>1186.1956941980829</v>
          </cell>
        </row>
        <row r="25">
          <cell r="R25">
            <v>1190.1017985819053</v>
          </cell>
        </row>
        <row r="26">
          <cell r="R26">
            <v>1047.2699462467808</v>
          </cell>
        </row>
        <row r="27">
          <cell r="R27">
            <v>1791.5487508952135</v>
          </cell>
        </row>
        <row r="28">
          <cell r="R28">
            <v>1772.4359875231451</v>
          </cell>
        </row>
        <row r="29">
          <cell r="R29">
            <v>1735.5836491034561</v>
          </cell>
        </row>
        <row r="30">
          <cell r="R30">
            <v>1886.5027492983729</v>
          </cell>
        </row>
        <row r="31">
          <cell r="R31">
            <v>1739.4897534872784</v>
          </cell>
        </row>
        <row r="32">
          <cell r="R32">
            <v>1718.2482191735799</v>
          </cell>
        </row>
        <row r="33">
          <cell r="R33">
            <v>1701.9797214743346</v>
          </cell>
        </row>
        <row r="34">
          <cell r="R34">
            <v>1596.2028405804181</v>
          </cell>
        </row>
        <row r="35">
          <cell r="R35">
            <v>1859.7918234371307</v>
          </cell>
        </row>
        <row r="36">
          <cell r="R36">
            <v>1907.2699194344964</v>
          </cell>
        </row>
        <row r="37">
          <cell r="R37">
            <v>1261.7986525381918</v>
          </cell>
        </row>
        <row r="38">
          <cell r="R38">
            <v>1408.5100053785463</v>
          </cell>
        </row>
        <row r="39">
          <cell r="R39">
            <v>1169.369039316781</v>
          </cell>
        </row>
        <row r="40">
          <cell r="R40">
            <v>1107.8256341559004</v>
          </cell>
        </row>
        <row r="41">
          <cell r="R41">
            <v>1256.0896878870467</v>
          </cell>
        </row>
        <row r="42">
          <cell r="R42">
            <v>1848.0483392682811</v>
          </cell>
        </row>
        <row r="43">
          <cell r="R43">
            <v>1906.6819079170507</v>
          </cell>
        </row>
        <row r="44">
          <cell r="R44">
            <v>1972.1545006258718</v>
          </cell>
        </row>
        <row r="45">
          <cell r="R45">
            <v>1887.569144544982</v>
          </cell>
        </row>
        <row r="46">
          <cell r="R46">
            <v>1850.7168061252928</v>
          </cell>
        </row>
        <row r="47">
          <cell r="R47">
            <v>1854.6229105091154</v>
          </cell>
        </row>
        <row r="48">
          <cell r="R48">
            <v>1817.1128784961716</v>
          </cell>
        </row>
        <row r="49">
          <cell r="R49">
            <v>1954.5355467916459</v>
          </cell>
        </row>
        <row r="50">
          <cell r="R50">
            <v>1789.4818616177597</v>
          </cell>
        </row>
        <row r="51">
          <cell r="R51">
            <v>1956.263742055939</v>
          </cell>
        </row>
        <row r="52">
          <cell r="R52">
            <v>1908.4101031813436</v>
          </cell>
        </row>
        <row r="53">
          <cell r="R53">
            <v>2091.2003450208463</v>
          </cell>
        </row>
        <row r="54">
          <cell r="R54">
            <v>1889.2973398092754</v>
          </cell>
        </row>
        <row r="55">
          <cell r="R55">
            <v>1856.3511057734088</v>
          </cell>
        </row>
        <row r="56">
          <cell r="R56">
            <v>1877.8875289893956</v>
          </cell>
        </row>
        <row r="57">
          <cell r="R57">
            <v>1416.9238001700412</v>
          </cell>
        </row>
        <row r="58">
          <cell r="R58">
            <v>1351.513595283297</v>
          </cell>
        </row>
        <row r="59">
          <cell r="R59">
            <v>1541.2723781558936</v>
          </cell>
        </row>
        <row r="60">
          <cell r="R60">
            <v>1660.329238300827</v>
          </cell>
        </row>
        <row r="61">
          <cell r="R61">
            <v>1765.1145324474478</v>
          </cell>
        </row>
        <row r="62">
          <cell r="R62">
            <v>1393.1384745999328</v>
          </cell>
        </row>
        <row r="63">
          <cell r="R63">
            <v>1046.0406026897062</v>
          </cell>
        </row>
        <row r="64">
          <cell r="R64">
            <v>1341.0338365799175</v>
          </cell>
        </row>
        <row r="65">
          <cell r="R65">
            <v>1400.3364440775554</v>
          </cell>
        </row>
        <row r="66">
          <cell r="R66">
            <v>1467.6113311070737</v>
          </cell>
        </row>
        <row r="67">
          <cell r="R67">
            <v>1381.2236807054869</v>
          </cell>
        </row>
        <row r="68">
          <cell r="R68">
            <v>1344.3713422857979</v>
          </cell>
        </row>
        <row r="69">
          <cell r="R69">
            <v>2156.1098447039208</v>
          </cell>
        </row>
        <row r="70">
          <cell r="R70">
            <v>1775.4563795071042</v>
          </cell>
        </row>
        <row r="71">
          <cell r="R71">
            <v>1520.2386882957367</v>
          </cell>
        </row>
        <row r="72">
          <cell r="R72">
            <v>1036.3824114173988</v>
          </cell>
        </row>
        <row r="73">
          <cell r="R73">
            <v>1275.3201721057319</v>
          </cell>
        </row>
        <row r="74">
          <cell r="R74">
            <v>1634.2677883606057</v>
          </cell>
        </row>
        <row r="75">
          <cell r="R75">
            <v>1194.9010786143012</v>
          </cell>
        </row>
        <row r="76">
          <cell r="R76">
            <v>1074.2198024892937</v>
          </cell>
        </row>
        <row r="77">
          <cell r="R77">
            <v>1392.1069023196312</v>
          </cell>
        </row>
        <row r="78">
          <cell r="R78">
            <v>1553.0998113007813</v>
          </cell>
        </row>
        <row r="79">
          <cell r="R79">
            <v>1367.4078530987072</v>
          </cell>
        </row>
        <row r="80">
          <cell r="R80">
            <v>1381.6414173166149</v>
          </cell>
        </row>
        <row r="81">
          <cell r="R81">
            <v>1536.5946815777709</v>
          </cell>
        </row>
        <row r="82">
          <cell r="R82">
            <v>801.53287884289614</v>
          </cell>
        </row>
        <row r="83">
          <cell r="R83">
            <v>717.28883543243785</v>
          </cell>
        </row>
        <row r="84">
          <cell r="R84">
            <v>900.34677362340108</v>
          </cell>
        </row>
        <row r="85">
          <cell r="R85">
            <v>1189.2430074812321</v>
          </cell>
        </row>
        <row r="86">
          <cell r="R86">
            <v>1353.124679506006</v>
          </cell>
        </row>
        <row r="87">
          <cell r="R87">
            <v>1491.4154589541454</v>
          </cell>
        </row>
        <row r="88">
          <cell r="R88">
            <v>1444.6586158658504</v>
          </cell>
        </row>
        <row r="89">
          <cell r="R89">
            <v>1425.5458524937819</v>
          </cell>
        </row>
        <row r="90">
          <cell r="R90">
            <v>1388.6935140740929</v>
          </cell>
        </row>
        <row r="91">
          <cell r="R91">
            <v>1539.6126142690098</v>
          </cell>
        </row>
        <row r="92">
          <cell r="R92">
            <v>1490.2440810543767</v>
          </cell>
        </row>
        <row r="93">
          <cell r="R93">
            <v>1392.5996184579153</v>
          </cell>
        </row>
        <row r="94">
          <cell r="R94">
            <v>1371.3580841442169</v>
          </cell>
        </row>
        <row r="95">
          <cell r="R95">
            <v>1355.0895864449715</v>
          </cell>
        </row>
        <row r="96">
          <cell r="R96">
            <v>1326.3617737802595</v>
          </cell>
        </row>
        <row r="97">
          <cell r="R97">
            <v>1470.2452791919486</v>
          </cell>
        </row>
        <row r="98">
          <cell r="R98">
            <v>1388.911548302043</v>
          </cell>
        </row>
        <row r="99">
          <cell r="R99">
            <v>1249.3127055510549</v>
          </cell>
        </row>
        <row r="100">
          <cell r="R100">
            <v>1081.7731727745606</v>
          </cell>
        </row>
        <row r="101">
          <cell r="R101">
            <v>1639.9897221246449</v>
          </cell>
        </row>
        <row r="102">
          <cell r="R102">
            <v>1555.4921360297576</v>
          </cell>
        </row>
        <row r="103">
          <cell r="R103">
            <v>1532.7160747314463</v>
          </cell>
        </row>
        <row r="104">
          <cell r="R104">
            <v>1340.7658441710364</v>
          </cell>
        </row>
        <row r="105">
          <cell r="R105">
            <v>1736.330016888355</v>
          </cell>
        </row>
        <row r="108">
          <cell r="R108">
            <v>1351.6425938229067</v>
          </cell>
        </row>
        <row r="109">
          <cell r="R109">
            <v>754.84381334701118</v>
          </cell>
        </row>
        <row r="110">
          <cell r="R110">
            <v>1226.1032932831888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ty  Fixed"/>
      <sheetName val="Лист1"/>
      <sheetName val="U-Indicators"/>
      <sheetName val="may"/>
      <sheetName val="4m"/>
      <sheetName val="Karamel"/>
      <sheetName val="Sweet"/>
      <sheetName val="Bisquet"/>
      <sheetName val="REALG"/>
      <sheetName val="Karamel Plan Price"/>
      <sheetName val="Sweet Plan Price"/>
      <sheetName val="Bisquet Plan Price"/>
      <sheetName val="FORMA"/>
      <sheetName val="VvodPrice"/>
      <sheetName val="CVP Karamel"/>
      <sheetName val="CVP Sweet (1)"/>
      <sheetName val="CVP Sweet (2)"/>
      <sheetName val="CVP marmelad Bisquet"/>
      <sheetName val="PRICES"/>
      <sheetName val="Glazuri"/>
      <sheetName val="Tarniy"/>
      <sheetName val="BOX"/>
      <sheetName val="Praline"/>
      <sheetName val="Praline2"/>
      <sheetName val="1 Raw Material"/>
      <sheetName val="2 Raw Material"/>
      <sheetName val="RawPlan"/>
      <sheetName val="Additional  Material"/>
      <sheetName val="Tara"/>
      <sheetName val="EXPORT"/>
      <sheetName val="EXPORT (2)"/>
      <sheetName val="EXPORT (3)"/>
      <sheetName val="EXPORT (4)"/>
      <sheetName val="EXPORT (5)"/>
      <sheetName val="EXPORT (6)"/>
      <sheetName val="тиражі"/>
    </sheetNames>
    <sheetDataSet>
      <sheetData sheetId="0" refreshError="1">
        <row r="38">
          <cell r="E38">
            <v>1926174.4378566837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ражі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D72"/>
  <sheetViews>
    <sheetView tabSelected="1" workbookViewId="0">
      <pane xSplit="2" ySplit="10" topLeftCell="BN56" activePane="bottomRight" state="frozen"/>
      <selection pane="topRight"/>
      <selection pane="bottomLeft"/>
      <selection pane="bottomRight" activeCell="BT19" sqref="BT19"/>
    </sheetView>
  </sheetViews>
  <sheetFormatPr defaultRowHeight="12.75" outlineLevelRow="2" outlineLevelCol="1" x14ac:dyDescent="0.2"/>
  <cols>
    <col min="1" max="1" width="6" style="81" customWidth="1"/>
    <col min="2" max="2" width="40.85546875" style="82" customWidth="1"/>
    <col min="3" max="7" width="12.140625" style="6" customWidth="1" outlineLevel="1"/>
    <col min="8" max="8" width="12.140625" style="6" customWidth="1"/>
    <col min="9" max="9" width="13.140625" style="5" hidden="1" customWidth="1" outlineLevel="1"/>
    <col min="10" max="10" width="12.140625" style="5" hidden="1" customWidth="1" outlineLevel="1"/>
    <col min="11" max="12" width="13.140625" style="5" hidden="1" customWidth="1" outlineLevel="1"/>
    <col min="13" max="13" width="12.140625" style="5" hidden="1" customWidth="1" outlineLevel="1"/>
    <col min="14" max="14" width="13.140625" style="5" customWidth="1" collapsed="1"/>
    <col min="15" max="15" width="12.140625" style="5" hidden="1" customWidth="1" outlineLevel="1"/>
    <col min="16" max="18" width="13.140625" style="5" hidden="1" customWidth="1" outlineLevel="1"/>
    <col min="19" max="19" width="12.140625" style="5" hidden="1" customWidth="1" outlineLevel="1"/>
    <col min="20" max="20" width="13.140625" style="5" customWidth="1" collapsed="1"/>
    <col min="21" max="23" width="12.140625" style="5" hidden="1" customWidth="1" outlineLevel="1"/>
    <col min="24" max="24" width="15.140625" style="5" hidden="1" customWidth="1" outlineLevel="1"/>
    <col min="25" max="25" width="12.140625" style="5" hidden="1" customWidth="1" outlineLevel="1"/>
    <col min="26" max="26" width="15.140625" style="5" customWidth="1" collapsed="1"/>
    <col min="27" max="29" width="12.140625" style="5" hidden="1" customWidth="1" outlineLevel="1"/>
    <col min="30" max="30" width="15.140625" style="5" hidden="1" customWidth="1" outlineLevel="1"/>
    <col min="31" max="31" width="12.140625" style="5" hidden="1" customWidth="1" outlineLevel="1"/>
    <col min="32" max="32" width="15.140625" style="5" customWidth="1" collapsed="1"/>
    <col min="33" max="35" width="12.140625" style="5" hidden="1" customWidth="1" outlineLevel="1"/>
    <col min="36" max="36" width="13.7109375" style="5" hidden="1" customWidth="1" outlineLevel="1"/>
    <col min="37" max="37" width="12.140625" style="5" hidden="1" customWidth="1" outlineLevel="1"/>
    <col min="38" max="38" width="13.140625" style="5" customWidth="1" collapsed="1"/>
    <col min="39" max="41" width="12.140625" style="5" hidden="1" customWidth="1" outlineLevel="1"/>
    <col min="42" max="42" width="13.140625" style="5" customWidth="1" outlineLevel="1"/>
    <col min="43" max="43" width="12.140625" style="5" customWidth="1" outlineLevel="1"/>
    <col min="44" max="44" width="13.140625" style="5" customWidth="1"/>
    <col min="45" max="46" width="12.140625" style="5" hidden="1" customWidth="1" outlineLevel="1"/>
    <col min="47" max="47" width="13.140625" style="5" hidden="1" customWidth="1" outlineLevel="1"/>
    <col min="48" max="48" width="13.140625" style="5" customWidth="1" outlineLevel="1"/>
    <col min="49" max="49" width="12.140625" style="5" customWidth="1" outlineLevel="1"/>
    <col min="50" max="50" width="13.140625" style="5" customWidth="1"/>
    <col min="51" max="53" width="12.140625" style="5" hidden="1" customWidth="1" outlineLevel="1"/>
    <col min="54" max="54" width="13.140625" style="5" customWidth="1" outlineLevel="1"/>
    <col min="55" max="55" width="12.140625" style="5" customWidth="1" outlineLevel="1"/>
    <col min="56" max="56" width="15.140625" style="5" customWidth="1"/>
    <col min="57" max="59" width="12.140625" style="5" hidden="1" customWidth="1" outlineLevel="1"/>
    <col min="60" max="60" width="15.140625" style="5" customWidth="1" outlineLevel="1"/>
    <col min="61" max="61" width="12.140625" style="5" customWidth="1" outlineLevel="1"/>
    <col min="62" max="62" width="15.140625" style="5" customWidth="1"/>
    <col min="63" max="64" width="12.140625" style="5" hidden="1" customWidth="1" outlineLevel="1"/>
    <col min="65" max="65" width="13.140625" style="5" hidden="1" customWidth="1" outlineLevel="1"/>
    <col min="66" max="67" width="12.140625" style="5" customWidth="1" outlineLevel="1"/>
    <col min="68" max="68" width="13.140625" style="5" bestFit="1" customWidth="1"/>
    <col min="69" max="71" width="12.140625" style="5" hidden="1" customWidth="1" outlineLevel="1"/>
    <col min="72" max="73" width="12.140625" style="5" customWidth="1" outlineLevel="1"/>
    <col min="74" max="74" width="12.140625" style="5" customWidth="1"/>
    <col min="75" max="79" width="12.140625" style="5" hidden="1" customWidth="1" outlineLevel="1"/>
    <col min="80" max="80" width="12.140625" style="5" customWidth="1" collapsed="1"/>
    <col min="81" max="81" width="10.42578125" style="15" bestFit="1" customWidth="1"/>
    <col min="82" max="82" width="10" style="15" bestFit="1" customWidth="1"/>
    <col min="83" max="16384" width="9.140625" style="15"/>
  </cols>
  <sheetData>
    <row r="1" spans="1:80" s="5" customFormat="1" ht="13.5" outlineLevel="1" x14ac:dyDescent="0.25">
      <c r="A1" s="1"/>
      <c r="B1" s="2" t="s">
        <v>0</v>
      </c>
      <c r="C1" s="3"/>
      <c r="D1" s="3"/>
      <c r="E1" s="4"/>
      <c r="F1" s="3"/>
      <c r="G1" s="3"/>
      <c r="H1" s="4"/>
    </row>
    <row r="2" spans="1:80" s="5" customFormat="1" ht="13.5" outlineLevel="1" x14ac:dyDescent="0.25">
      <c r="A2" s="1"/>
      <c r="B2" s="2" t="s">
        <v>1</v>
      </c>
      <c r="C2" s="6"/>
      <c r="D2" s="6"/>
      <c r="E2" s="4"/>
      <c r="F2" s="6"/>
      <c r="G2" s="6"/>
      <c r="H2" s="4"/>
    </row>
    <row r="3" spans="1:80" s="5" customFormat="1" ht="13.5" outlineLevel="1" x14ac:dyDescent="0.25">
      <c r="A3" s="1"/>
      <c r="B3" s="2" t="s">
        <v>2</v>
      </c>
      <c r="C3" s="6"/>
      <c r="D3" s="6"/>
      <c r="E3" s="4"/>
      <c r="F3" s="6"/>
      <c r="G3" s="6"/>
      <c r="H3" s="4"/>
    </row>
    <row r="4" spans="1:80" s="5" customFormat="1" ht="13.5" outlineLevel="1" x14ac:dyDescent="0.25">
      <c r="A4" s="7"/>
      <c r="B4" s="2" t="s">
        <v>3</v>
      </c>
      <c r="C4" s="6"/>
      <c r="D4" s="6"/>
      <c r="E4" s="4"/>
      <c r="F4" s="6"/>
      <c r="G4" s="6"/>
      <c r="H4" s="4"/>
    </row>
    <row r="5" spans="1:80" s="5" customFormat="1" ht="18" x14ac:dyDescent="0.25">
      <c r="A5" s="8" t="s">
        <v>4</v>
      </c>
      <c r="B5" s="9"/>
      <c r="C5" s="9"/>
      <c r="D5" s="9"/>
      <c r="E5" s="9"/>
      <c r="F5" s="9"/>
      <c r="G5" s="9"/>
      <c r="H5" s="9"/>
      <c r="N5" s="10"/>
      <c r="AK5" s="11"/>
      <c r="AP5" s="10"/>
      <c r="AQ5" s="10"/>
      <c r="AR5" s="10"/>
    </row>
    <row r="6" spans="1:80" x14ac:dyDescent="0.2">
      <c r="A6" s="12"/>
      <c r="B6" s="13"/>
      <c r="C6" s="14"/>
      <c r="D6" s="14"/>
      <c r="E6" s="14"/>
      <c r="F6" s="14"/>
      <c r="G6" s="14"/>
      <c r="H6" s="14"/>
      <c r="I6" s="15"/>
      <c r="J6" s="15"/>
      <c r="K6" s="15"/>
      <c r="L6" s="15"/>
      <c r="M6" s="15"/>
      <c r="N6" s="16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</row>
    <row r="7" spans="1:80" s="5" customFormat="1" ht="19.5" x14ac:dyDescent="0.2">
      <c r="A7" s="17"/>
      <c r="B7" s="18">
        <v>2024</v>
      </c>
      <c r="C7" s="86" t="s">
        <v>5</v>
      </c>
      <c r="D7" s="87"/>
      <c r="E7" s="88"/>
      <c r="F7" s="86" t="s">
        <v>5</v>
      </c>
      <c r="G7" s="87"/>
      <c r="H7" s="88"/>
      <c r="I7" s="83" t="s">
        <v>6</v>
      </c>
      <c r="J7" s="84"/>
      <c r="K7" s="85"/>
      <c r="L7" s="83" t="s">
        <v>6</v>
      </c>
      <c r="M7" s="84"/>
      <c r="N7" s="85"/>
      <c r="O7" s="89" t="s">
        <v>7</v>
      </c>
      <c r="P7" s="90"/>
      <c r="Q7" s="91"/>
      <c r="R7" s="89" t="s">
        <v>7</v>
      </c>
      <c r="S7" s="90"/>
      <c r="T7" s="91"/>
      <c r="U7" s="92" t="s">
        <v>8</v>
      </c>
      <c r="V7" s="93"/>
      <c r="W7" s="94"/>
      <c r="X7" s="92" t="s">
        <v>8</v>
      </c>
      <c r="Y7" s="93"/>
      <c r="Z7" s="94"/>
      <c r="AA7" s="86" t="s">
        <v>9</v>
      </c>
      <c r="AB7" s="87"/>
      <c r="AC7" s="88"/>
      <c r="AD7" s="86" t="s">
        <v>9</v>
      </c>
      <c r="AE7" s="87"/>
      <c r="AF7" s="88"/>
      <c r="AG7" s="83" t="s">
        <v>10</v>
      </c>
      <c r="AH7" s="84"/>
      <c r="AI7" s="85"/>
      <c r="AJ7" s="83" t="s">
        <v>10</v>
      </c>
      <c r="AK7" s="84"/>
      <c r="AL7" s="85"/>
      <c r="AM7" s="89" t="s">
        <v>11</v>
      </c>
      <c r="AN7" s="90"/>
      <c r="AO7" s="91"/>
      <c r="AP7" s="89" t="s">
        <v>11</v>
      </c>
      <c r="AQ7" s="90"/>
      <c r="AR7" s="91"/>
      <c r="AS7" s="92" t="s">
        <v>12</v>
      </c>
      <c r="AT7" s="93"/>
      <c r="AU7" s="94"/>
      <c r="AV7" s="92" t="s">
        <v>12</v>
      </c>
      <c r="AW7" s="93"/>
      <c r="AX7" s="94"/>
      <c r="AY7" s="86" t="s">
        <v>13</v>
      </c>
      <c r="AZ7" s="87"/>
      <c r="BA7" s="88"/>
      <c r="BB7" s="86" t="s">
        <v>13</v>
      </c>
      <c r="BC7" s="87"/>
      <c r="BD7" s="88"/>
      <c r="BE7" s="83" t="s">
        <v>14</v>
      </c>
      <c r="BF7" s="84"/>
      <c r="BG7" s="85"/>
      <c r="BH7" s="83" t="s">
        <v>14</v>
      </c>
      <c r="BI7" s="84"/>
      <c r="BJ7" s="85"/>
      <c r="BK7" s="89" t="s">
        <v>15</v>
      </c>
      <c r="BL7" s="90"/>
      <c r="BM7" s="91"/>
      <c r="BN7" s="89" t="s">
        <v>15</v>
      </c>
      <c r="BO7" s="90"/>
      <c r="BP7" s="91"/>
      <c r="BQ7" s="92" t="s">
        <v>16</v>
      </c>
      <c r="BR7" s="93"/>
      <c r="BS7" s="94"/>
      <c r="BT7" s="92" t="s">
        <v>16</v>
      </c>
      <c r="BU7" s="93"/>
      <c r="BV7" s="94"/>
      <c r="BW7" s="86" t="s">
        <v>17</v>
      </c>
      <c r="BX7" s="87"/>
      <c r="BY7" s="88"/>
      <c r="BZ7" s="86" t="s">
        <v>91</v>
      </c>
      <c r="CA7" s="87"/>
      <c r="CB7" s="87"/>
    </row>
    <row r="8" spans="1:80" ht="12.75" customHeight="1" x14ac:dyDescent="0.2">
      <c r="A8" s="19"/>
      <c r="B8" s="20" t="s">
        <v>18</v>
      </c>
      <c r="C8" s="21"/>
      <c r="D8" s="21"/>
      <c r="E8" s="22">
        <f>C8+D8</f>
        <v>0</v>
      </c>
      <c r="F8" s="21"/>
      <c r="G8" s="21"/>
      <c r="H8" s="22">
        <f>F8+G8</f>
        <v>0</v>
      </c>
      <c r="I8" s="21"/>
      <c r="J8" s="21"/>
      <c r="K8" s="22">
        <f>I8+J8</f>
        <v>0</v>
      </c>
      <c r="L8" s="22">
        <f>F72</f>
        <v>0</v>
      </c>
      <c r="M8" s="22">
        <f>G72</f>
        <v>0</v>
      </c>
      <c r="N8" s="22">
        <f>L8+M8</f>
        <v>0</v>
      </c>
      <c r="O8" s="21"/>
      <c r="P8" s="21"/>
      <c r="Q8" s="22">
        <f>O8+P8</f>
        <v>0</v>
      </c>
      <c r="R8" s="22">
        <f>L72</f>
        <v>0</v>
      </c>
      <c r="S8" s="22">
        <f>M72</f>
        <v>0</v>
      </c>
      <c r="T8" s="22">
        <f>R8+S8</f>
        <v>0</v>
      </c>
      <c r="U8" s="21"/>
      <c r="V8" s="21"/>
      <c r="W8" s="22">
        <f>U8+V8</f>
        <v>0</v>
      </c>
      <c r="X8" s="22">
        <f>R72</f>
        <v>0</v>
      </c>
      <c r="Y8" s="22">
        <f>S72</f>
        <v>0</v>
      </c>
      <c r="Z8" s="22">
        <f>X8+Y8</f>
        <v>0</v>
      </c>
      <c r="AA8" s="21"/>
      <c r="AB8" s="21"/>
      <c r="AC8" s="22">
        <f>AA8+AB8</f>
        <v>0</v>
      </c>
      <c r="AD8" s="22">
        <f>X72</f>
        <v>0</v>
      </c>
      <c r="AE8" s="22">
        <f>Y72</f>
        <v>0</v>
      </c>
      <c r="AF8" s="22">
        <f>AD8+AE8</f>
        <v>0</v>
      </c>
      <c r="AG8" s="21"/>
      <c r="AH8" s="21"/>
      <c r="AI8" s="22">
        <f>AG8+AH8</f>
        <v>0</v>
      </c>
      <c r="AJ8" s="22">
        <f>AD72</f>
        <v>0</v>
      </c>
      <c r="AK8" s="22">
        <f>AE72</f>
        <v>0</v>
      </c>
      <c r="AL8" s="22">
        <f>AJ8+AK8</f>
        <v>0</v>
      </c>
      <c r="AM8" s="21"/>
      <c r="AN8" s="21"/>
      <c r="AO8" s="22">
        <f>AM8+AN8</f>
        <v>0</v>
      </c>
      <c r="AP8" s="22">
        <f>AJ72</f>
        <v>0</v>
      </c>
      <c r="AQ8" s="22">
        <f>AK72</f>
        <v>0</v>
      </c>
      <c r="AR8" s="22">
        <f>AP8+AQ8</f>
        <v>0</v>
      </c>
      <c r="AS8" s="21"/>
      <c r="AT8" s="21"/>
      <c r="AU8" s="22">
        <f>AS8+AT8</f>
        <v>0</v>
      </c>
      <c r="AV8" s="22">
        <f>AP72</f>
        <v>0</v>
      </c>
      <c r="AW8" s="22">
        <f>AQ72</f>
        <v>0</v>
      </c>
      <c r="AX8" s="22">
        <f>AV8+AW8</f>
        <v>0</v>
      </c>
      <c r="AY8" s="21"/>
      <c r="AZ8" s="21"/>
      <c r="BA8" s="22">
        <f>AY8+AZ8</f>
        <v>0</v>
      </c>
      <c r="BB8" s="22">
        <f>AV72</f>
        <v>0</v>
      </c>
      <c r="BC8" s="22">
        <f>AW72</f>
        <v>0</v>
      </c>
      <c r="BD8" s="22">
        <f>BB8+BC8</f>
        <v>0</v>
      </c>
      <c r="BE8" s="21"/>
      <c r="BF8" s="21"/>
      <c r="BG8" s="22">
        <f>BE8+BF8</f>
        <v>0</v>
      </c>
      <c r="BH8" s="22">
        <f>BB72</f>
        <v>288.95999999999913</v>
      </c>
      <c r="BI8" s="22">
        <f>BC72</f>
        <v>-317</v>
      </c>
      <c r="BJ8" s="22">
        <f>BH8+BI8</f>
        <v>-28.040000000000873</v>
      </c>
      <c r="BK8" s="21"/>
      <c r="BL8" s="21"/>
      <c r="BM8" s="22">
        <f>BK8+BL8</f>
        <v>0</v>
      </c>
      <c r="BN8" s="22">
        <f>BH72</f>
        <v>1862.7399999999907</v>
      </c>
      <c r="BO8" s="22">
        <f>BI72</f>
        <v>0</v>
      </c>
      <c r="BP8" s="22">
        <f>BN8+BO8</f>
        <v>1862.7399999999907</v>
      </c>
      <c r="BQ8" s="21"/>
      <c r="BR8" s="21"/>
      <c r="BS8" s="22">
        <f>BQ8+BR8</f>
        <v>0</v>
      </c>
      <c r="BT8" s="22">
        <f>BN72</f>
        <v>153081.33999999997</v>
      </c>
      <c r="BU8" s="22">
        <f>BO72</f>
        <v>21702</v>
      </c>
      <c r="BV8" s="22">
        <f>BT8+BU8</f>
        <v>174783.33999999997</v>
      </c>
      <c r="BW8" s="22"/>
      <c r="BX8" s="22"/>
      <c r="BY8" s="22">
        <f>BW8+BX8</f>
        <v>0</v>
      </c>
      <c r="BZ8" s="22">
        <f>F8</f>
        <v>0</v>
      </c>
      <c r="CA8" s="22">
        <f>G8</f>
        <v>0</v>
      </c>
      <c r="CB8" s="22">
        <f>BZ8+CA8</f>
        <v>0</v>
      </c>
    </row>
    <row r="9" spans="1:80" s="5" customFormat="1" ht="15" x14ac:dyDescent="0.2">
      <c r="A9" s="23"/>
      <c r="B9" s="24"/>
      <c r="C9" s="95" t="s">
        <v>19</v>
      </c>
      <c r="D9" s="95"/>
      <c r="E9" s="95"/>
      <c r="F9" s="95" t="s">
        <v>20</v>
      </c>
      <c r="G9" s="95"/>
      <c r="H9" s="95"/>
      <c r="I9" s="95" t="s">
        <v>19</v>
      </c>
      <c r="J9" s="95"/>
      <c r="K9" s="95"/>
      <c r="L9" s="95" t="s">
        <v>20</v>
      </c>
      <c r="M9" s="95"/>
      <c r="N9" s="95"/>
      <c r="O9" s="95" t="s">
        <v>19</v>
      </c>
      <c r="P9" s="95"/>
      <c r="Q9" s="95"/>
      <c r="R9" s="95" t="s">
        <v>20</v>
      </c>
      <c r="S9" s="95"/>
      <c r="T9" s="95"/>
      <c r="U9" s="95" t="s">
        <v>19</v>
      </c>
      <c r="V9" s="95"/>
      <c r="W9" s="95"/>
      <c r="X9" s="95" t="s">
        <v>20</v>
      </c>
      <c r="Y9" s="95"/>
      <c r="Z9" s="95"/>
      <c r="AA9" s="95" t="s">
        <v>19</v>
      </c>
      <c r="AB9" s="95"/>
      <c r="AC9" s="95"/>
      <c r="AD9" s="95" t="s">
        <v>20</v>
      </c>
      <c r="AE9" s="95"/>
      <c r="AF9" s="95"/>
      <c r="AG9" s="95" t="s">
        <v>19</v>
      </c>
      <c r="AH9" s="95"/>
      <c r="AI9" s="95"/>
      <c r="AJ9" s="95" t="s">
        <v>20</v>
      </c>
      <c r="AK9" s="95"/>
      <c r="AL9" s="95"/>
      <c r="AM9" s="95" t="s">
        <v>19</v>
      </c>
      <c r="AN9" s="95"/>
      <c r="AO9" s="95"/>
      <c r="AP9" s="95" t="s">
        <v>20</v>
      </c>
      <c r="AQ9" s="95"/>
      <c r="AR9" s="95"/>
      <c r="AS9" s="95" t="s">
        <v>19</v>
      </c>
      <c r="AT9" s="95"/>
      <c r="AU9" s="95"/>
      <c r="AV9" s="95" t="s">
        <v>20</v>
      </c>
      <c r="AW9" s="95"/>
      <c r="AX9" s="95"/>
      <c r="AY9" s="95" t="s">
        <v>19</v>
      </c>
      <c r="AZ9" s="95"/>
      <c r="BA9" s="95"/>
      <c r="BB9" s="95" t="s">
        <v>20</v>
      </c>
      <c r="BC9" s="95"/>
      <c r="BD9" s="95"/>
      <c r="BE9" s="95" t="s">
        <v>19</v>
      </c>
      <c r="BF9" s="95"/>
      <c r="BG9" s="95"/>
      <c r="BH9" s="95" t="s">
        <v>20</v>
      </c>
      <c r="BI9" s="95"/>
      <c r="BJ9" s="95"/>
      <c r="BK9" s="95" t="s">
        <v>19</v>
      </c>
      <c r="BL9" s="95"/>
      <c r="BM9" s="95"/>
      <c r="BN9" s="95" t="s">
        <v>20</v>
      </c>
      <c r="BO9" s="95"/>
      <c r="BP9" s="95"/>
      <c r="BQ9" s="95" t="s">
        <v>19</v>
      </c>
      <c r="BR9" s="95"/>
      <c r="BS9" s="95"/>
      <c r="BT9" s="95" t="s">
        <v>20</v>
      </c>
      <c r="BU9" s="95"/>
      <c r="BV9" s="95"/>
      <c r="BW9" s="95" t="s">
        <v>19</v>
      </c>
      <c r="BX9" s="95"/>
      <c r="BY9" s="95"/>
      <c r="BZ9" s="95" t="s">
        <v>20</v>
      </c>
      <c r="CA9" s="95"/>
      <c r="CB9" s="95"/>
    </row>
    <row r="10" spans="1:80" s="5" customFormat="1" x14ac:dyDescent="0.2">
      <c r="A10" s="25" t="s">
        <v>21</v>
      </c>
      <c r="B10" s="26" t="s">
        <v>22</v>
      </c>
      <c r="C10" s="27" t="s">
        <v>23</v>
      </c>
      <c r="D10" s="27" t="s">
        <v>24</v>
      </c>
      <c r="E10" s="27" t="s">
        <v>25</v>
      </c>
      <c r="F10" s="27" t="s">
        <v>23</v>
      </c>
      <c r="G10" s="27" t="s">
        <v>24</v>
      </c>
      <c r="H10" s="27" t="s">
        <v>25</v>
      </c>
      <c r="I10" s="27" t="s">
        <v>23</v>
      </c>
      <c r="J10" s="27" t="s">
        <v>24</v>
      </c>
      <c r="K10" s="27" t="s">
        <v>25</v>
      </c>
      <c r="L10" s="27" t="s">
        <v>23</v>
      </c>
      <c r="M10" s="27" t="s">
        <v>24</v>
      </c>
      <c r="N10" s="27" t="s">
        <v>25</v>
      </c>
      <c r="O10" s="27" t="s">
        <v>23</v>
      </c>
      <c r="P10" s="27" t="s">
        <v>24</v>
      </c>
      <c r="Q10" s="27" t="s">
        <v>25</v>
      </c>
      <c r="R10" s="27" t="s">
        <v>23</v>
      </c>
      <c r="S10" s="27" t="s">
        <v>24</v>
      </c>
      <c r="T10" s="27" t="s">
        <v>25</v>
      </c>
      <c r="U10" s="27" t="s">
        <v>23</v>
      </c>
      <c r="V10" s="27" t="s">
        <v>24</v>
      </c>
      <c r="W10" s="27" t="s">
        <v>25</v>
      </c>
      <c r="X10" s="27" t="s">
        <v>23</v>
      </c>
      <c r="Y10" s="27" t="s">
        <v>24</v>
      </c>
      <c r="Z10" s="27" t="s">
        <v>25</v>
      </c>
      <c r="AA10" s="27" t="s">
        <v>23</v>
      </c>
      <c r="AB10" s="27" t="s">
        <v>24</v>
      </c>
      <c r="AC10" s="27" t="s">
        <v>25</v>
      </c>
      <c r="AD10" s="27" t="s">
        <v>23</v>
      </c>
      <c r="AE10" s="27" t="s">
        <v>24</v>
      </c>
      <c r="AF10" s="27" t="s">
        <v>25</v>
      </c>
      <c r="AG10" s="27" t="s">
        <v>23</v>
      </c>
      <c r="AH10" s="27" t="s">
        <v>24</v>
      </c>
      <c r="AI10" s="27" t="s">
        <v>25</v>
      </c>
      <c r="AJ10" s="27" t="s">
        <v>23</v>
      </c>
      <c r="AK10" s="27" t="s">
        <v>24</v>
      </c>
      <c r="AL10" s="27" t="s">
        <v>25</v>
      </c>
      <c r="AM10" s="27" t="s">
        <v>23</v>
      </c>
      <c r="AN10" s="27" t="s">
        <v>24</v>
      </c>
      <c r="AO10" s="27" t="s">
        <v>25</v>
      </c>
      <c r="AP10" s="27" t="s">
        <v>23</v>
      </c>
      <c r="AQ10" s="27" t="s">
        <v>24</v>
      </c>
      <c r="AR10" s="27" t="s">
        <v>25</v>
      </c>
      <c r="AS10" s="27" t="s">
        <v>23</v>
      </c>
      <c r="AT10" s="27" t="s">
        <v>24</v>
      </c>
      <c r="AU10" s="27" t="s">
        <v>25</v>
      </c>
      <c r="AV10" s="27" t="s">
        <v>23</v>
      </c>
      <c r="AW10" s="27" t="s">
        <v>24</v>
      </c>
      <c r="AX10" s="27" t="s">
        <v>25</v>
      </c>
      <c r="AY10" s="27" t="s">
        <v>23</v>
      </c>
      <c r="AZ10" s="27" t="s">
        <v>24</v>
      </c>
      <c r="BA10" s="27" t="s">
        <v>25</v>
      </c>
      <c r="BB10" s="27" t="s">
        <v>23</v>
      </c>
      <c r="BC10" s="27" t="s">
        <v>24</v>
      </c>
      <c r="BD10" s="27" t="s">
        <v>25</v>
      </c>
      <c r="BE10" s="27" t="s">
        <v>23</v>
      </c>
      <c r="BF10" s="27" t="s">
        <v>24</v>
      </c>
      <c r="BG10" s="27" t="s">
        <v>25</v>
      </c>
      <c r="BH10" s="27" t="s">
        <v>23</v>
      </c>
      <c r="BI10" s="27" t="s">
        <v>24</v>
      </c>
      <c r="BJ10" s="27" t="s">
        <v>25</v>
      </c>
      <c r="BK10" s="27" t="s">
        <v>23</v>
      </c>
      <c r="BL10" s="27" t="s">
        <v>24</v>
      </c>
      <c r="BM10" s="27" t="s">
        <v>25</v>
      </c>
      <c r="BN10" s="27" t="s">
        <v>23</v>
      </c>
      <c r="BO10" s="27" t="s">
        <v>24</v>
      </c>
      <c r="BP10" s="27" t="s">
        <v>25</v>
      </c>
      <c r="BQ10" s="27" t="s">
        <v>23</v>
      </c>
      <c r="BR10" s="27" t="s">
        <v>24</v>
      </c>
      <c r="BS10" s="27" t="s">
        <v>25</v>
      </c>
      <c r="BT10" s="27" t="s">
        <v>23</v>
      </c>
      <c r="BU10" s="27" t="s">
        <v>24</v>
      </c>
      <c r="BV10" s="27" t="s">
        <v>25</v>
      </c>
      <c r="BW10" s="27" t="s">
        <v>23</v>
      </c>
      <c r="BX10" s="27" t="s">
        <v>24</v>
      </c>
      <c r="BY10" s="27" t="s">
        <v>25</v>
      </c>
      <c r="BZ10" s="28" t="s">
        <v>23</v>
      </c>
      <c r="CA10" s="28" t="s">
        <v>24</v>
      </c>
      <c r="CB10" s="28" t="s">
        <v>25</v>
      </c>
    </row>
    <row r="11" spans="1:80" ht="15" x14ac:dyDescent="0.2">
      <c r="A11" s="29" t="s">
        <v>26</v>
      </c>
      <c r="B11" s="29"/>
      <c r="C11" s="30"/>
      <c r="D11" s="30"/>
      <c r="E11" s="31"/>
      <c r="F11" s="30"/>
      <c r="G11" s="30"/>
      <c r="H11" s="31"/>
      <c r="I11" s="30"/>
      <c r="J11" s="30"/>
      <c r="K11" s="31"/>
      <c r="L11" s="30"/>
      <c r="M11" s="30"/>
      <c r="N11" s="31"/>
      <c r="O11" s="30"/>
      <c r="P11" s="30"/>
      <c r="Q11" s="31"/>
      <c r="R11" s="30"/>
      <c r="S11" s="30"/>
      <c r="T11" s="31"/>
      <c r="U11" s="30"/>
      <c r="V11" s="30"/>
      <c r="W11" s="31"/>
      <c r="X11" s="30"/>
      <c r="Y11" s="30"/>
      <c r="Z11" s="31"/>
      <c r="AA11" s="30"/>
      <c r="AB11" s="30"/>
      <c r="AC11" s="31"/>
      <c r="AD11" s="30"/>
      <c r="AE11" s="30"/>
      <c r="AF11" s="31"/>
      <c r="AG11" s="30"/>
      <c r="AH11" s="30"/>
      <c r="AI11" s="31"/>
      <c r="AJ11" s="30"/>
      <c r="AK11" s="30"/>
      <c r="AL11" s="31"/>
      <c r="AM11" s="30"/>
      <c r="AN11" s="30"/>
      <c r="AO11" s="31"/>
      <c r="AP11" s="30"/>
      <c r="AQ11" s="30"/>
      <c r="AR11" s="31"/>
      <c r="AS11" s="30"/>
      <c r="AT11" s="30"/>
      <c r="AU11" s="31"/>
      <c r="AV11" s="30"/>
      <c r="AW11" s="30"/>
      <c r="AX11" s="31"/>
      <c r="AY11" s="30"/>
      <c r="AZ11" s="30"/>
      <c r="BA11" s="31"/>
      <c r="BB11" s="30"/>
      <c r="BC11" s="30"/>
      <c r="BD11" s="31"/>
      <c r="BE11" s="30"/>
      <c r="BF11" s="30"/>
      <c r="BG11" s="31"/>
      <c r="BH11" s="30"/>
      <c r="BI11" s="30"/>
      <c r="BJ11" s="31"/>
      <c r="BK11" s="30"/>
      <c r="BL11" s="30"/>
      <c r="BM11" s="31"/>
      <c r="BN11" s="30"/>
      <c r="BO11" s="30"/>
      <c r="BP11" s="31"/>
      <c r="BQ11" s="30"/>
      <c r="BR11" s="30"/>
      <c r="BS11" s="31"/>
      <c r="BT11" s="30"/>
      <c r="BU11" s="30"/>
      <c r="BV11" s="31"/>
      <c r="BW11" s="30"/>
      <c r="BX11" s="30"/>
      <c r="BY11" s="30"/>
      <c r="BZ11" s="32"/>
      <c r="CA11" s="32"/>
      <c r="CB11" s="32"/>
    </row>
    <row r="12" spans="1:80" outlineLevel="1" x14ac:dyDescent="0.2">
      <c r="A12" s="33">
        <v>111</v>
      </c>
      <c r="B12" s="34" t="s">
        <v>27</v>
      </c>
      <c r="C12" s="35"/>
      <c r="D12" s="35"/>
      <c r="E12" s="36">
        <f>C12+D12</f>
        <v>0</v>
      </c>
      <c r="F12" s="35"/>
      <c r="G12" s="35"/>
      <c r="H12" s="36">
        <f>F12+G12</f>
        <v>0</v>
      </c>
      <c r="I12" s="35"/>
      <c r="J12" s="35"/>
      <c r="K12" s="36">
        <f t="shared" ref="K12:K30" si="0">I12+J12</f>
        <v>0</v>
      </c>
      <c r="L12" s="35"/>
      <c r="M12" s="35"/>
      <c r="N12" s="36">
        <f t="shared" ref="N12:N30" si="1">L12+M12</f>
        <v>0</v>
      </c>
      <c r="O12" s="35"/>
      <c r="P12" s="35"/>
      <c r="Q12" s="36">
        <f t="shared" ref="Q12:Q30" si="2">O12+P12</f>
        <v>0</v>
      </c>
      <c r="R12" s="35"/>
      <c r="S12" s="35"/>
      <c r="T12" s="36">
        <f t="shared" ref="T12:T30" si="3">R12+S12</f>
        <v>0</v>
      </c>
      <c r="U12" s="35"/>
      <c r="V12" s="35"/>
      <c r="W12" s="36">
        <f t="shared" ref="W12:W30" si="4">U12+V12</f>
        <v>0</v>
      </c>
      <c r="X12" s="35"/>
      <c r="Y12" s="35"/>
      <c r="Z12" s="36">
        <f t="shared" ref="Z12:Z30" si="5">X12+Y12</f>
        <v>0</v>
      </c>
      <c r="AA12" s="35"/>
      <c r="AB12" s="35"/>
      <c r="AC12" s="36">
        <f t="shared" ref="AC12:AC30" si="6">AA12+AB12</f>
        <v>0</v>
      </c>
      <c r="AD12" s="35"/>
      <c r="AE12" s="35"/>
      <c r="AF12" s="36">
        <f t="shared" ref="AF12:AF30" si="7">AD12+AE12</f>
        <v>0</v>
      </c>
      <c r="AG12" s="35"/>
      <c r="AH12" s="35"/>
      <c r="AI12" s="36">
        <f t="shared" ref="AI12:AI30" si="8">AG12+AH12</f>
        <v>0</v>
      </c>
      <c r="AJ12" s="35"/>
      <c r="AK12" s="35"/>
      <c r="AL12" s="36">
        <f t="shared" ref="AL12:AL30" si="9">AJ12+AK12</f>
        <v>0</v>
      </c>
      <c r="AM12" s="35"/>
      <c r="AN12" s="35"/>
      <c r="AO12" s="36">
        <f t="shared" ref="AO12:AO30" si="10">AM12+AN12</f>
        <v>0</v>
      </c>
      <c r="AP12" s="35"/>
      <c r="AQ12" s="35"/>
      <c r="AR12" s="36">
        <f t="shared" ref="AR12:AR30" si="11">AP12+AQ12</f>
        <v>0</v>
      </c>
      <c r="AS12" s="35"/>
      <c r="AT12" s="35"/>
      <c r="AU12" s="36">
        <f t="shared" ref="AU12:AU30" si="12">AS12+AT12</f>
        <v>0</v>
      </c>
      <c r="AV12" s="35"/>
      <c r="AW12" s="35"/>
      <c r="AX12" s="36">
        <f t="shared" ref="AX12:AX30" si="13">AV12+AW12</f>
        <v>0</v>
      </c>
      <c r="AY12" s="35"/>
      <c r="AZ12" s="35"/>
      <c r="BA12" s="36">
        <f t="shared" ref="BA12:BA30" si="14">AY12+AZ12</f>
        <v>0</v>
      </c>
      <c r="BB12" s="35"/>
      <c r="BC12" s="35"/>
      <c r="BD12" s="36">
        <f t="shared" ref="BD12:BD30" si="15">BB12+BC12</f>
        <v>0</v>
      </c>
      <c r="BE12" s="35"/>
      <c r="BF12" s="35"/>
      <c r="BG12" s="36">
        <f t="shared" ref="BG12:BG30" si="16">BE12+BF12</f>
        <v>0</v>
      </c>
      <c r="BH12" s="35"/>
      <c r="BI12" s="35"/>
      <c r="BJ12" s="36">
        <f t="shared" ref="BJ12:BJ30" si="17">BH12+BI12</f>
        <v>0</v>
      </c>
      <c r="BK12" s="35"/>
      <c r="BL12" s="35"/>
      <c r="BM12" s="36">
        <f t="shared" ref="BM12:BM30" si="18">BK12+BL12</f>
        <v>0</v>
      </c>
      <c r="BN12" s="37"/>
      <c r="BO12" s="35"/>
      <c r="BP12" s="36">
        <f t="shared" ref="BP12:BP30" si="19">BN12+BO12</f>
        <v>0</v>
      </c>
      <c r="BQ12" s="35"/>
      <c r="BR12" s="35"/>
      <c r="BS12" s="36">
        <f t="shared" ref="BS12:BS30" si="20">BQ12+BR12</f>
        <v>0</v>
      </c>
      <c r="BT12" s="37"/>
      <c r="BU12" s="35"/>
      <c r="BV12" s="36">
        <f t="shared" ref="BV12:BV30" si="21">BT12+BU12</f>
        <v>0</v>
      </c>
      <c r="BW12" s="36">
        <f>C12+I12+O12+U12+AA12+AG12+AM12+AS12+AY12+BE12+BK12+BQ12</f>
        <v>0</v>
      </c>
      <c r="BX12" s="36">
        <f>D12+J12+P12+V12+AB12+AH12+AN12+AT12+AZ12+BF12+BL12+BR12</f>
        <v>0</v>
      </c>
      <c r="BY12" s="36">
        <f>BW12+BX12</f>
        <v>0</v>
      </c>
      <c r="BZ12" s="36">
        <f>F12+L12+R12+X12+AD12+AJ12+AP12+AV12+BB12+BH12+BN12+BT12</f>
        <v>0</v>
      </c>
      <c r="CA12" s="36">
        <f>G12+M12+S12+Y12+AE12+AK12+AQ12+AW12+BC12+BI12+BO12+BU12</f>
        <v>0</v>
      </c>
      <c r="CB12" s="36">
        <f>BZ12+CA12</f>
        <v>0</v>
      </c>
    </row>
    <row r="13" spans="1:80" s="44" customFormat="1" ht="24" outlineLevel="1" x14ac:dyDescent="0.2">
      <c r="A13" s="38"/>
      <c r="B13" s="39" t="s">
        <v>28</v>
      </c>
      <c r="C13" s="40"/>
      <c r="D13" s="40"/>
      <c r="E13" s="41">
        <f t="shared" ref="E13:E70" si="22">C13+D13</f>
        <v>0</v>
      </c>
      <c r="F13" s="40"/>
      <c r="G13" s="40"/>
      <c r="H13" s="41">
        <f>F13+G13</f>
        <v>0</v>
      </c>
      <c r="I13" s="40"/>
      <c r="J13" s="40"/>
      <c r="K13" s="41">
        <f t="shared" si="0"/>
        <v>0</v>
      </c>
      <c r="L13" s="40"/>
      <c r="M13" s="40"/>
      <c r="N13" s="41">
        <f t="shared" si="1"/>
        <v>0</v>
      </c>
      <c r="O13" s="40"/>
      <c r="P13" s="40"/>
      <c r="Q13" s="41">
        <f t="shared" si="2"/>
        <v>0</v>
      </c>
      <c r="R13" s="40"/>
      <c r="S13" s="40"/>
      <c r="T13" s="41">
        <f t="shared" si="3"/>
        <v>0</v>
      </c>
      <c r="U13" s="40"/>
      <c r="V13" s="40"/>
      <c r="W13" s="41">
        <f t="shared" si="4"/>
        <v>0</v>
      </c>
      <c r="X13" s="40"/>
      <c r="Y13" s="40"/>
      <c r="Z13" s="41">
        <f t="shared" si="5"/>
        <v>0</v>
      </c>
      <c r="AA13" s="40"/>
      <c r="AB13" s="40"/>
      <c r="AC13" s="41">
        <f t="shared" si="6"/>
        <v>0</v>
      </c>
      <c r="AD13" s="40"/>
      <c r="AE13" s="40"/>
      <c r="AF13" s="41">
        <f t="shared" si="7"/>
        <v>0</v>
      </c>
      <c r="AG13" s="40"/>
      <c r="AH13" s="40"/>
      <c r="AI13" s="41">
        <f t="shared" si="8"/>
        <v>0</v>
      </c>
      <c r="AJ13" s="40"/>
      <c r="AK13" s="40"/>
      <c r="AL13" s="41">
        <f t="shared" si="9"/>
        <v>0</v>
      </c>
      <c r="AM13" s="40"/>
      <c r="AN13" s="40"/>
      <c r="AO13" s="41">
        <f t="shared" si="10"/>
        <v>0</v>
      </c>
      <c r="AP13" s="40"/>
      <c r="AQ13" s="40"/>
      <c r="AR13" s="41">
        <f t="shared" si="11"/>
        <v>0</v>
      </c>
      <c r="AS13" s="40"/>
      <c r="AT13" s="40"/>
      <c r="AU13" s="41">
        <f t="shared" si="12"/>
        <v>0</v>
      </c>
      <c r="AV13" s="40"/>
      <c r="AW13" s="40"/>
      <c r="AX13" s="41">
        <f t="shared" si="13"/>
        <v>0</v>
      </c>
      <c r="AY13" s="40"/>
      <c r="AZ13" s="40"/>
      <c r="BA13" s="41">
        <f t="shared" si="14"/>
        <v>0</v>
      </c>
      <c r="BB13" s="40"/>
      <c r="BC13" s="40"/>
      <c r="BD13" s="41">
        <f t="shared" si="15"/>
        <v>0</v>
      </c>
      <c r="BE13" s="40"/>
      <c r="BF13" s="40"/>
      <c r="BG13" s="41">
        <f t="shared" si="16"/>
        <v>0</v>
      </c>
      <c r="BH13" s="40"/>
      <c r="BI13" s="40"/>
      <c r="BJ13" s="41">
        <f t="shared" si="17"/>
        <v>0</v>
      </c>
      <c r="BK13" s="40"/>
      <c r="BL13" s="40"/>
      <c r="BM13" s="41">
        <f t="shared" si="18"/>
        <v>0</v>
      </c>
      <c r="BN13" s="42"/>
      <c r="BO13" s="40"/>
      <c r="BP13" s="41">
        <f t="shared" si="19"/>
        <v>0</v>
      </c>
      <c r="BQ13" s="40"/>
      <c r="BR13" s="40"/>
      <c r="BS13" s="41">
        <f t="shared" si="20"/>
        <v>0</v>
      </c>
      <c r="BT13" s="40"/>
      <c r="BU13" s="40"/>
      <c r="BV13" s="41">
        <f t="shared" si="21"/>
        <v>0</v>
      </c>
      <c r="BW13" s="43">
        <f t="shared" ref="BW13:BX69" si="23">C13+I13+O13+U13+AA13+AG13+AM13+AS13+AY13+BE13+BK13+BQ13</f>
        <v>0</v>
      </c>
      <c r="BX13" s="43">
        <f t="shared" si="23"/>
        <v>0</v>
      </c>
      <c r="BY13" s="43">
        <f t="shared" ref="BY13:BY70" si="24">BW13+BX13</f>
        <v>0</v>
      </c>
      <c r="BZ13" s="43">
        <f t="shared" ref="BZ13:CA69" si="25">F13+L13+R13+X13+AD13+AJ13+AP13+AV13+BB13+BH13+BN13+BT13</f>
        <v>0</v>
      </c>
      <c r="CA13" s="43">
        <f t="shared" si="25"/>
        <v>0</v>
      </c>
      <c r="CB13" s="43">
        <f t="shared" ref="CB13:CB70" si="26">BZ13+CA13</f>
        <v>0</v>
      </c>
    </row>
    <row r="14" spans="1:80" outlineLevel="1" x14ac:dyDescent="0.2">
      <c r="A14" s="33">
        <v>112</v>
      </c>
      <c r="B14" s="34" t="s">
        <v>29</v>
      </c>
      <c r="C14" s="45"/>
      <c r="D14" s="45"/>
      <c r="E14" s="46">
        <f t="shared" si="22"/>
        <v>0</v>
      </c>
      <c r="F14" s="45"/>
      <c r="G14" s="45"/>
      <c r="H14" s="46">
        <f>F14+G14</f>
        <v>0</v>
      </c>
      <c r="I14" s="45"/>
      <c r="J14" s="45"/>
      <c r="K14" s="46">
        <f t="shared" si="0"/>
        <v>0</v>
      </c>
      <c r="L14" s="45"/>
      <c r="M14" s="45"/>
      <c r="N14" s="46">
        <f t="shared" si="1"/>
        <v>0</v>
      </c>
      <c r="O14" s="45"/>
      <c r="P14" s="45"/>
      <c r="Q14" s="46">
        <f t="shared" si="2"/>
        <v>0</v>
      </c>
      <c r="R14" s="45"/>
      <c r="S14" s="45"/>
      <c r="T14" s="46">
        <f t="shared" si="3"/>
        <v>0</v>
      </c>
      <c r="U14" s="45"/>
      <c r="V14" s="45"/>
      <c r="W14" s="46">
        <f t="shared" si="4"/>
        <v>0</v>
      </c>
      <c r="X14" s="45"/>
      <c r="Y14" s="45"/>
      <c r="Z14" s="46">
        <f t="shared" si="5"/>
        <v>0</v>
      </c>
      <c r="AA14" s="45"/>
      <c r="AB14" s="45"/>
      <c r="AC14" s="46">
        <f t="shared" si="6"/>
        <v>0</v>
      </c>
      <c r="AD14" s="45"/>
      <c r="AE14" s="45"/>
      <c r="AF14" s="46">
        <f t="shared" si="7"/>
        <v>0</v>
      </c>
      <c r="AG14" s="45"/>
      <c r="AH14" s="45"/>
      <c r="AI14" s="46">
        <f t="shared" si="8"/>
        <v>0</v>
      </c>
      <c r="AJ14" s="45"/>
      <c r="AK14" s="45"/>
      <c r="AL14" s="46">
        <f t="shared" si="9"/>
        <v>0</v>
      </c>
      <c r="AM14" s="45"/>
      <c r="AN14" s="45"/>
      <c r="AO14" s="46">
        <f t="shared" si="10"/>
        <v>0</v>
      </c>
      <c r="AP14" s="45"/>
      <c r="AQ14" s="45"/>
      <c r="AR14" s="46">
        <f t="shared" si="11"/>
        <v>0</v>
      </c>
      <c r="AS14" s="45"/>
      <c r="AT14" s="45"/>
      <c r="AU14" s="46">
        <f t="shared" si="12"/>
        <v>0</v>
      </c>
      <c r="AV14" s="45"/>
      <c r="AW14" s="45"/>
      <c r="AX14" s="46">
        <f t="shared" si="13"/>
        <v>0</v>
      </c>
      <c r="AY14" s="45"/>
      <c r="AZ14" s="45"/>
      <c r="BA14" s="46">
        <f t="shared" si="14"/>
        <v>0</v>
      </c>
      <c r="BB14" s="45"/>
      <c r="BC14" s="45">
        <f>45100+21600</f>
        <v>66700</v>
      </c>
      <c r="BD14" s="46">
        <f t="shared" si="15"/>
        <v>66700</v>
      </c>
      <c r="BE14" s="45"/>
      <c r="BF14" s="45"/>
      <c r="BG14" s="46">
        <f t="shared" si="16"/>
        <v>0</v>
      </c>
      <c r="BH14" s="45">
        <v>90</v>
      </c>
      <c r="BI14" s="45">
        <f>44080+5162</f>
        <v>49242</v>
      </c>
      <c r="BJ14" s="46">
        <f t="shared" si="17"/>
        <v>49332</v>
      </c>
      <c r="BK14" s="45"/>
      <c r="BL14" s="45"/>
      <c r="BM14" s="46">
        <f t="shared" si="18"/>
        <v>0</v>
      </c>
      <c r="BN14" s="47"/>
      <c r="BO14" s="45"/>
      <c r="BP14" s="46">
        <f t="shared" si="19"/>
        <v>0</v>
      </c>
      <c r="BQ14" s="45"/>
      <c r="BR14" s="45"/>
      <c r="BS14" s="46">
        <f t="shared" si="20"/>
        <v>0</v>
      </c>
      <c r="BT14" s="45">
        <f>34142+1264799+75653.83</f>
        <v>1374594.83</v>
      </c>
      <c r="BU14" s="45"/>
      <c r="BV14" s="46">
        <f t="shared" si="21"/>
        <v>1374594.83</v>
      </c>
      <c r="BW14" s="36">
        <f t="shared" si="23"/>
        <v>0</v>
      </c>
      <c r="BX14" s="36">
        <f t="shared" si="23"/>
        <v>0</v>
      </c>
      <c r="BY14" s="36">
        <f t="shared" si="24"/>
        <v>0</v>
      </c>
      <c r="BZ14" s="36">
        <f t="shared" si="25"/>
        <v>1374684.83</v>
      </c>
      <c r="CA14" s="36">
        <f t="shared" si="25"/>
        <v>115942</v>
      </c>
      <c r="CB14" s="36">
        <f t="shared" si="26"/>
        <v>1490626.83</v>
      </c>
    </row>
    <row r="15" spans="1:80" s="44" customFormat="1" ht="24" outlineLevel="1" x14ac:dyDescent="0.2">
      <c r="A15" s="38"/>
      <c r="B15" s="39" t="s">
        <v>30</v>
      </c>
      <c r="C15" s="40"/>
      <c r="D15" s="40"/>
      <c r="E15" s="41">
        <f t="shared" si="22"/>
        <v>0</v>
      </c>
      <c r="F15" s="40"/>
      <c r="G15" s="40"/>
      <c r="H15" s="41">
        <f t="shared" ref="H15:H29" si="27">F15+G15</f>
        <v>0</v>
      </c>
      <c r="I15" s="40"/>
      <c r="J15" s="40"/>
      <c r="K15" s="41">
        <f t="shared" si="0"/>
        <v>0</v>
      </c>
      <c r="L15" s="40"/>
      <c r="M15" s="40"/>
      <c r="N15" s="41">
        <f t="shared" si="1"/>
        <v>0</v>
      </c>
      <c r="O15" s="40"/>
      <c r="P15" s="40"/>
      <c r="Q15" s="41">
        <f t="shared" si="2"/>
        <v>0</v>
      </c>
      <c r="R15" s="40"/>
      <c r="S15" s="40"/>
      <c r="T15" s="41">
        <f t="shared" si="3"/>
        <v>0</v>
      </c>
      <c r="U15" s="40"/>
      <c r="V15" s="40"/>
      <c r="W15" s="41">
        <f t="shared" si="4"/>
        <v>0</v>
      </c>
      <c r="X15" s="40"/>
      <c r="Y15" s="40"/>
      <c r="Z15" s="41">
        <f t="shared" si="5"/>
        <v>0</v>
      </c>
      <c r="AA15" s="40"/>
      <c r="AB15" s="40"/>
      <c r="AC15" s="41">
        <f t="shared" si="6"/>
        <v>0</v>
      </c>
      <c r="AD15" s="40"/>
      <c r="AE15" s="40"/>
      <c r="AF15" s="41">
        <f t="shared" si="7"/>
        <v>0</v>
      </c>
      <c r="AG15" s="40"/>
      <c r="AH15" s="40"/>
      <c r="AI15" s="41">
        <f t="shared" si="8"/>
        <v>0</v>
      </c>
      <c r="AJ15" s="40"/>
      <c r="AK15" s="40"/>
      <c r="AL15" s="41">
        <f t="shared" si="9"/>
        <v>0</v>
      </c>
      <c r="AM15" s="40"/>
      <c r="AN15" s="40"/>
      <c r="AO15" s="41">
        <f t="shared" si="10"/>
        <v>0</v>
      </c>
      <c r="AP15" s="40"/>
      <c r="AQ15" s="40"/>
      <c r="AR15" s="41">
        <f t="shared" si="11"/>
        <v>0</v>
      </c>
      <c r="AS15" s="40"/>
      <c r="AT15" s="40"/>
      <c r="AU15" s="41">
        <f t="shared" si="12"/>
        <v>0</v>
      </c>
      <c r="AV15" s="40"/>
      <c r="AW15" s="40"/>
      <c r="AX15" s="41">
        <f t="shared" si="13"/>
        <v>0</v>
      </c>
      <c r="AY15" s="40"/>
      <c r="AZ15" s="40"/>
      <c r="BA15" s="41">
        <f t="shared" si="14"/>
        <v>0</v>
      </c>
      <c r="BB15" s="40"/>
      <c r="BC15" s="40"/>
      <c r="BD15" s="41">
        <f t="shared" si="15"/>
        <v>0</v>
      </c>
      <c r="BE15" s="40"/>
      <c r="BF15" s="40"/>
      <c r="BG15" s="41">
        <f t="shared" si="16"/>
        <v>0</v>
      </c>
      <c r="BH15" s="40"/>
      <c r="BI15" s="40"/>
      <c r="BJ15" s="41">
        <f t="shared" si="17"/>
        <v>0</v>
      </c>
      <c r="BK15" s="40"/>
      <c r="BL15" s="40"/>
      <c r="BM15" s="41">
        <f t="shared" si="18"/>
        <v>0</v>
      </c>
      <c r="BN15" s="42"/>
      <c r="BO15" s="40"/>
      <c r="BP15" s="41">
        <f t="shared" si="19"/>
        <v>0</v>
      </c>
      <c r="BQ15" s="40"/>
      <c r="BR15" s="40"/>
      <c r="BS15" s="41">
        <f t="shared" si="20"/>
        <v>0</v>
      </c>
      <c r="BT15" s="40"/>
      <c r="BU15" s="40"/>
      <c r="BV15" s="41">
        <f t="shared" si="21"/>
        <v>0</v>
      </c>
      <c r="BW15" s="43">
        <f t="shared" si="23"/>
        <v>0</v>
      </c>
      <c r="BX15" s="43">
        <f t="shared" si="23"/>
        <v>0</v>
      </c>
      <c r="BY15" s="43">
        <f t="shared" si="24"/>
        <v>0</v>
      </c>
      <c r="BZ15" s="43">
        <f t="shared" si="25"/>
        <v>0</v>
      </c>
      <c r="CA15" s="43">
        <f t="shared" si="25"/>
        <v>0</v>
      </c>
      <c r="CB15" s="43">
        <f t="shared" si="26"/>
        <v>0</v>
      </c>
    </row>
    <row r="16" spans="1:80" outlineLevel="1" x14ac:dyDescent="0.2">
      <c r="A16" s="33">
        <v>113</v>
      </c>
      <c r="B16" s="34" t="s">
        <v>31</v>
      </c>
      <c r="C16" s="45"/>
      <c r="D16" s="45"/>
      <c r="E16" s="46">
        <f t="shared" si="22"/>
        <v>0</v>
      </c>
      <c r="F16" s="45"/>
      <c r="G16" s="45"/>
      <c r="H16" s="46"/>
      <c r="I16" s="45"/>
      <c r="J16" s="45"/>
      <c r="K16" s="46">
        <f t="shared" si="0"/>
        <v>0</v>
      </c>
      <c r="L16" s="45"/>
      <c r="M16" s="45"/>
      <c r="N16" s="46">
        <f t="shared" si="1"/>
        <v>0</v>
      </c>
      <c r="O16" s="45"/>
      <c r="P16" s="45"/>
      <c r="Q16" s="46">
        <f t="shared" si="2"/>
        <v>0</v>
      </c>
      <c r="R16" s="45"/>
      <c r="S16" s="45"/>
      <c r="T16" s="46">
        <f t="shared" si="3"/>
        <v>0</v>
      </c>
      <c r="U16" s="45"/>
      <c r="V16" s="45"/>
      <c r="W16" s="46">
        <f t="shared" si="4"/>
        <v>0</v>
      </c>
      <c r="X16" s="45"/>
      <c r="Y16" s="45"/>
      <c r="Z16" s="46">
        <f t="shared" si="5"/>
        <v>0</v>
      </c>
      <c r="AA16" s="45"/>
      <c r="AB16" s="45"/>
      <c r="AC16" s="46">
        <f t="shared" si="6"/>
        <v>0</v>
      </c>
      <c r="AD16" s="45"/>
      <c r="AE16" s="45"/>
      <c r="AF16" s="46">
        <f t="shared" si="7"/>
        <v>0</v>
      </c>
      <c r="AG16" s="45"/>
      <c r="AH16" s="45"/>
      <c r="AI16" s="46">
        <f t="shared" si="8"/>
        <v>0</v>
      </c>
      <c r="AJ16" s="45"/>
      <c r="AK16" s="45"/>
      <c r="AL16" s="46">
        <f t="shared" si="9"/>
        <v>0</v>
      </c>
      <c r="AM16" s="45"/>
      <c r="AN16" s="45"/>
      <c r="AO16" s="46">
        <f t="shared" si="10"/>
        <v>0</v>
      </c>
      <c r="AP16" s="45"/>
      <c r="AQ16" s="45"/>
      <c r="AR16" s="46">
        <f t="shared" si="11"/>
        <v>0</v>
      </c>
      <c r="AS16" s="45"/>
      <c r="AT16" s="45"/>
      <c r="AU16" s="46">
        <f t="shared" si="12"/>
        <v>0</v>
      </c>
      <c r="AV16" s="45"/>
      <c r="AW16" s="45"/>
      <c r="AX16" s="46">
        <f t="shared" si="13"/>
        <v>0</v>
      </c>
      <c r="AY16" s="45"/>
      <c r="AZ16" s="45"/>
      <c r="BA16" s="46">
        <f t="shared" si="14"/>
        <v>0</v>
      </c>
      <c r="BB16" s="45"/>
      <c r="BC16" s="45"/>
      <c r="BD16" s="46">
        <f t="shared" si="15"/>
        <v>0</v>
      </c>
      <c r="BE16" s="45"/>
      <c r="BF16" s="45"/>
      <c r="BG16" s="46">
        <f t="shared" si="16"/>
        <v>0</v>
      </c>
      <c r="BH16" s="45"/>
      <c r="BI16" s="45"/>
      <c r="BJ16" s="46">
        <f t="shared" si="17"/>
        <v>0</v>
      </c>
      <c r="BK16" s="45"/>
      <c r="BL16" s="45"/>
      <c r="BM16" s="46">
        <f t="shared" si="18"/>
        <v>0</v>
      </c>
      <c r="BN16" s="48">
        <v>413131.74</v>
      </c>
      <c r="BO16" s="45">
        <f>30500+35000+40000+40000+40000</f>
        <v>185500</v>
      </c>
      <c r="BP16" s="46">
        <f t="shared" si="19"/>
        <v>598631.74</v>
      </c>
      <c r="BQ16" s="45"/>
      <c r="BR16" s="45"/>
      <c r="BS16" s="46">
        <f t="shared" si="20"/>
        <v>0</v>
      </c>
      <c r="BT16" s="96"/>
      <c r="BU16" s="45">
        <f>40000+40000+40000+2300</f>
        <v>122300</v>
      </c>
      <c r="BV16" s="46">
        <f t="shared" si="21"/>
        <v>122300</v>
      </c>
      <c r="BW16" s="36">
        <f t="shared" si="23"/>
        <v>0</v>
      </c>
      <c r="BX16" s="36">
        <f t="shared" si="23"/>
        <v>0</v>
      </c>
      <c r="BY16" s="36">
        <f t="shared" si="24"/>
        <v>0</v>
      </c>
      <c r="BZ16" s="36">
        <f t="shared" si="25"/>
        <v>413131.74</v>
      </c>
      <c r="CA16" s="36">
        <f t="shared" si="25"/>
        <v>307800</v>
      </c>
      <c r="CB16" s="36">
        <f t="shared" si="26"/>
        <v>720931.74</v>
      </c>
    </row>
    <row r="17" spans="1:82" s="44" customFormat="1" ht="24" outlineLevel="1" x14ac:dyDescent="0.2">
      <c r="A17" s="38"/>
      <c r="B17" s="39" t="s">
        <v>32</v>
      </c>
      <c r="C17" s="40"/>
      <c r="D17" s="40"/>
      <c r="E17" s="41">
        <f t="shared" si="22"/>
        <v>0</v>
      </c>
      <c r="F17" s="40"/>
      <c r="G17" s="40"/>
      <c r="H17" s="41"/>
      <c r="I17" s="40"/>
      <c r="J17" s="40"/>
      <c r="K17" s="41">
        <f t="shared" si="0"/>
        <v>0</v>
      </c>
      <c r="L17" s="40"/>
      <c r="M17" s="40"/>
      <c r="N17" s="41">
        <f t="shared" si="1"/>
        <v>0</v>
      </c>
      <c r="O17" s="40"/>
      <c r="P17" s="40"/>
      <c r="Q17" s="41">
        <f t="shared" si="2"/>
        <v>0</v>
      </c>
      <c r="R17" s="40"/>
      <c r="S17" s="40"/>
      <c r="T17" s="41">
        <f t="shared" si="3"/>
        <v>0</v>
      </c>
      <c r="U17" s="40"/>
      <c r="V17" s="40"/>
      <c r="W17" s="41">
        <f t="shared" si="4"/>
        <v>0</v>
      </c>
      <c r="X17" s="40"/>
      <c r="Y17" s="40"/>
      <c r="Z17" s="41">
        <f t="shared" si="5"/>
        <v>0</v>
      </c>
      <c r="AA17" s="40"/>
      <c r="AB17" s="40"/>
      <c r="AC17" s="41">
        <f t="shared" si="6"/>
        <v>0</v>
      </c>
      <c r="AD17" s="40"/>
      <c r="AE17" s="40"/>
      <c r="AF17" s="41">
        <f t="shared" si="7"/>
        <v>0</v>
      </c>
      <c r="AG17" s="40"/>
      <c r="AH17" s="40"/>
      <c r="AI17" s="41">
        <f t="shared" si="8"/>
        <v>0</v>
      </c>
      <c r="AJ17" s="40"/>
      <c r="AK17" s="40"/>
      <c r="AL17" s="41">
        <f t="shared" si="9"/>
        <v>0</v>
      </c>
      <c r="AM17" s="40"/>
      <c r="AN17" s="40"/>
      <c r="AO17" s="41">
        <f t="shared" si="10"/>
        <v>0</v>
      </c>
      <c r="AP17" s="40"/>
      <c r="AQ17" s="40"/>
      <c r="AR17" s="41">
        <f t="shared" si="11"/>
        <v>0</v>
      </c>
      <c r="AS17" s="40"/>
      <c r="AT17" s="40"/>
      <c r="AU17" s="41">
        <f t="shared" si="12"/>
        <v>0</v>
      </c>
      <c r="AV17" s="40"/>
      <c r="AW17" s="40"/>
      <c r="AX17" s="41">
        <f t="shared" si="13"/>
        <v>0</v>
      </c>
      <c r="AY17" s="40"/>
      <c r="AZ17" s="40"/>
      <c r="BA17" s="41">
        <f t="shared" si="14"/>
        <v>0</v>
      </c>
      <c r="BB17" s="40"/>
      <c r="BC17" s="40"/>
      <c r="BD17" s="41">
        <f t="shared" si="15"/>
        <v>0</v>
      </c>
      <c r="BE17" s="40"/>
      <c r="BF17" s="40"/>
      <c r="BG17" s="41">
        <f t="shared" si="16"/>
        <v>0</v>
      </c>
      <c r="BH17" s="40"/>
      <c r="BI17" s="40"/>
      <c r="BJ17" s="41">
        <f t="shared" si="17"/>
        <v>0</v>
      </c>
      <c r="BK17" s="40"/>
      <c r="BL17" s="40"/>
      <c r="BM17" s="41">
        <f t="shared" si="18"/>
        <v>0</v>
      </c>
      <c r="BN17" s="40"/>
      <c r="BO17" s="40"/>
      <c r="BP17" s="41">
        <f t="shared" si="19"/>
        <v>0</v>
      </c>
      <c r="BQ17" s="40"/>
      <c r="BR17" s="40"/>
      <c r="BS17" s="41">
        <f t="shared" si="20"/>
        <v>0</v>
      </c>
      <c r="BT17" s="40"/>
      <c r="BU17" s="40"/>
      <c r="BV17" s="41">
        <f t="shared" si="21"/>
        <v>0</v>
      </c>
      <c r="BW17" s="43">
        <f t="shared" si="23"/>
        <v>0</v>
      </c>
      <c r="BX17" s="43">
        <f t="shared" si="23"/>
        <v>0</v>
      </c>
      <c r="BY17" s="43">
        <f t="shared" si="24"/>
        <v>0</v>
      </c>
      <c r="BZ17" s="43">
        <f t="shared" si="25"/>
        <v>0</v>
      </c>
      <c r="CA17" s="43">
        <f t="shared" si="25"/>
        <v>0</v>
      </c>
      <c r="CB17" s="43">
        <f t="shared" si="26"/>
        <v>0</v>
      </c>
    </row>
    <row r="18" spans="1:82" outlineLevel="1" x14ac:dyDescent="0.2">
      <c r="A18" s="33">
        <v>114</v>
      </c>
      <c r="B18" s="34" t="s">
        <v>33</v>
      </c>
      <c r="C18" s="45"/>
      <c r="D18" s="45"/>
      <c r="E18" s="46">
        <f t="shared" si="22"/>
        <v>0</v>
      </c>
      <c r="F18" s="45"/>
      <c r="G18" s="45"/>
      <c r="H18" s="46">
        <f t="shared" si="27"/>
        <v>0</v>
      </c>
      <c r="I18" s="45"/>
      <c r="J18" s="45"/>
      <c r="K18" s="46">
        <f t="shared" si="0"/>
        <v>0</v>
      </c>
      <c r="L18" s="45"/>
      <c r="M18" s="45"/>
      <c r="N18" s="46">
        <f t="shared" si="1"/>
        <v>0</v>
      </c>
      <c r="O18" s="45"/>
      <c r="P18" s="45"/>
      <c r="Q18" s="46">
        <f t="shared" si="2"/>
        <v>0</v>
      </c>
      <c r="R18" s="45"/>
      <c r="S18" s="45"/>
      <c r="T18" s="46">
        <f t="shared" si="3"/>
        <v>0</v>
      </c>
      <c r="U18" s="45"/>
      <c r="V18" s="45"/>
      <c r="W18" s="46">
        <f t="shared" si="4"/>
        <v>0</v>
      </c>
      <c r="X18" s="45"/>
      <c r="Y18" s="45"/>
      <c r="Z18" s="46">
        <f t="shared" si="5"/>
        <v>0</v>
      </c>
      <c r="AA18" s="45"/>
      <c r="AB18" s="45"/>
      <c r="AC18" s="46">
        <f t="shared" si="6"/>
        <v>0</v>
      </c>
      <c r="AD18" s="45"/>
      <c r="AE18" s="45"/>
      <c r="AF18" s="46">
        <f t="shared" si="7"/>
        <v>0</v>
      </c>
      <c r="AG18" s="45"/>
      <c r="AH18" s="45"/>
      <c r="AI18" s="46">
        <f t="shared" si="8"/>
        <v>0</v>
      </c>
      <c r="AJ18" s="45"/>
      <c r="AK18" s="45"/>
      <c r="AL18" s="46">
        <f t="shared" si="9"/>
        <v>0</v>
      </c>
      <c r="AM18" s="45"/>
      <c r="AN18" s="45"/>
      <c r="AO18" s="46">
        <f t="shared" si="10"/>
        <v>0</v>
      </c>
      <c r="AP18" s="45"/>
      <c r="AQ18" s="45"/>
      <c r="AR18" s="46">
        <f t="shared" si="11"/>
        <v>0</v>
      </c>
      <c r="AS18" s="45"/>
      <c r="AT18" s="45"/>
      <c r="AU18" s="46">
        <f t="shared" si="12"/>
        <v>0</v>
      </c>
      <c r="AV18" s="45"/>
      <c r="AW18" s="45"/>
      <c r="AX18" s="46">
        <f t="shared" si="13"/>
        <v>0</v>
      </c>
      <c r="AY18" s="45"/>
      <c r="AZ18" s="45"/>
      <c r="BA18" s="46">
        <f t="shared" si="14"/>
        <v>0</v>
      </c>
      <c r="BB18" s="45"/>
      <c r="BC18" s="45"/>
      <c r="BD18" s="46">
        <f t="shared" si="15"/>
        <v>0</v>
      </c>
      <c r="BE18" s="45"/>
      <c r="BF18" s="45"/>
      <c r="BG18" s="46">
        <f t="shared" si="16"/>
        <v>0</v>
      </c>
      <c r="BH18" s="45"/>
      <c r="BI18" s="45"/>
      <c r="BJ18" s="46">
        <f t="shared" si="17"/>
        <v>0</v>
      </c>
      <c r="BK18" s="45"/>
      <c r="BL18" s="45"/>
      <c r="BM18" s="46">
        <f t="shared" si="18"/>
        <v>0</v>
      </c>
      <c r="BN18" s="45"/>
      <c r="BO18" s="45"/>
      <c r="BP18" s="46">
        <f t="shared" si="19"/>
        <v>0</v>
      </c>
      <c r="BQ18" s="45"/>
      <c r="BR18" s="45"/>
      <c r="BS18" s="46">
        <f t="shared" si="20"/>
        <v>0</v>
      </c>
      <c r="BT18" s="45"/>
      <c r="BU18" s="45"/>
      <c r="BV18" s="46">
        <f t="shared" si="21"/>
        <v>0</v>
      </c>
      <c r="BW18" s="36">
        <f t="shared" si="23"/>
        <v>0</v>
      </c>
      <c r="BX18" s="36">
        <f t="shared" si="23"/>
        <v>0</v>
      </c>
      <c r="BY18" s="36">
        <f t="shared" si="24"/>
        <v>0</v>
      </c>
      <c r="BZ18" s="36">
        <f t="shared" si="25"/>
        <v>0</v>
      </c>
      <c r="CA18" s="36">
        <f t="shared" si="25"/>
        <v>0</v>
      </c>
      <c r="CB18" s="36">
        <f t="shared" si="26"/>
        <v>0</v>
      </c>
    </row>
    <row r="19" spans="1:82" s="44" customFormat="1" ht="12" outlineLevel="1" x14ac:dyDescent="0.2">
      <c r="A19" s="38"/>
      <c r="B19" s="39" t="s">
        <v>34</v>
      </c>
      <c r="C19" s="40"/>
      <c r="D19" s="40"/>
      <c r="E19" s="41">
        <f t="shared" si="22"/>
        <v>0</v>
      </c>
      <c r="F19" s="40"/>
      <c r="G19" s="40"/>
      <c r="H19" s="41">
        <f t="shared" si="27"/>
        <v>0</v>
      </c>
      <c r="I19" s="40"/>
      <c r="J19" s="40"/>
      <c r="K19" s="41">
        <f t="shared" si="0"/>
        <v>0</v>
      </c>
      <c r="L19" s="40"/>
      <c r="M19" s="40"/>
      <c r="N19" s="41">
        <f t="shared" si="1"/>
        <v>0</v>
      </c>
      <c r="O19" s="40"/>
      <c r="P19" s="40"/>
      <c r="Q19" s="41">
        <f t="shared" si="2"/>
        <v>0</v>
      </c>
      <c r="R19" s="40"/>
      <c r="S19" s="40"/>
      <c r="T19" s="41">
        <f t="shared" si="3"/>
        <v>0</v>
      </c>
      <c r="U19" s="40"/>
      <c r="V19" s="40"/>
      <c r="W19" s="41">
        <f t="shared" si="4"/>
        <v>0</v>
      </c>
      <c r="X19" s="40"/>
      <c r="Y19" s="40"/>
      <c r="Z19" s="41">
        <f t="shared" si="5"/>
        <v>0</v>
      </c>
      <c r="AA19" s="40"/>
      <c r="AB19" s="40"/>
      <c r="AC19" s="41">
        <f t="shared" si="6"/>
        <v>0</v>
      </c>
      <c r="AD19" s="40"/>
      <c r="AE19" s="40"/>
      <c r="AF19" s="41">
        <f t="shared" si="7"/>
        <v>0</v>
      </c>
      <c r="AG19" s="40"/>
      <c r="AH19" s="40"/>
      <c r="AI19" s="41">
        <f t="shared" si="8"/>
        <v>0</v>
      </c>
      <c r="AJ19" s="40"/>
      <c r="AK19" s="40"/>
      <c r="AL19" s="41">
        <f t="shared" si="9"/>
        <v>0</v>
      </c>
      <c r="AM19" s="40"/>
      <c r="AN19" s="40"/>
      <c r="AO19" s="41">
        <f t="shared" si="10"/>
        <v>0</v>
      </c>
      <c r="AP19" s="40"/>
      <c r="AQ19" s="40"/>
      <c r="AR19" s="41">
        <f t="shared" si="11"/>
        <v>0</v>
      </c>
      <c r="AS19" s="40"/>
      <c r="AT19" s="40"/>
      <c r="AU19" s="41">
        <f t="shared" si="12"/>
        <v>0</v>
      </c>
      <c r="AV19" s="40"/>
      <c r="AW19" s="40"/>
      <c r="AX19" s="41">
        <f t="shared" si="13"/>
        <v>0</v>
      </c>
      <c r="AY19" s="40"/>
      <c r="AZ19" s="40"/>
      <c r="BA19" s="41">
        <f t="shared" si="14"/>
        <v>0</v>
      </c>
      <c r="BB19" s="40"/>
      <c r="BC19" s="40"/>
      <c r="BD19" s="41">
        <f t="shared" si="15"/>
        <v>0</v>
      </c>
      <c r="BE19" s="40"/>
      <c r="BF19" s="40"/>
      <c r="BG19" s="41">
        <f t="shared" si="16"/>
        <v>0</v>
      </c>
      <c r="BH19" s="40"/>
      <c r="BI19" s="40"/>
      <c r="BJ19" s="41">
        <f t="shared" si="17"/>
        <v>0</v>
      </c>
      <c r="BK19" s="40"/>
      <c r="BL19" s="40"/>
      <c r="BM19" s="41">
        <f t="shared" si="18"/>
        <v>0</v>
      </c>
      <c r="BN19" s="40"/>
      <c r="BO19" s="40"/>
      <c r="BP19" s="41">
        <f t="shared" si="19"/>
        <v>0</v>
      </c>
      <c r="BQ19" s="40"/>
      <c r="BR19" s="40"/>
      <c r="BS19" s="41">
        <f t="shared" si="20"/>
        <v>0</v>
      </c>
      <c r="BT19" s="40"/>
      <c r="BU19" s="40"/>
      <c r="BV19" s="41">
        <f t="shared" si="21"/>
        <v>0</v>
      </c>
      <c r="BW19" s="43">
        <f t="shared" si="23"/>
        <v>0</v>
      </c>
      <c r="BX19" s="43">
        <f t="shared" si="23"/>
        <v>0</v>
      </c>
      <c r="BY19" s="43">
        <f t="shared" si="24"/>
        <v>0</v>
      </c>
      <c r="BZ19" s="43">
        <f t="shared" si="25"/>
        <v>0</v>
      </c>
      <c r="CA19" s="43">
        <f t="shared" si="25"/>
        <v>0</v>
      </c>
      <c r="CB19" s="43">
        <f t="shared" si="26"/>
        <v>0</v>
      </c>
    </row>
    <row r="20" spans="1:82" outlineLevel="1" x14ac:dyDescent="0.2">
      <c r="A20" s="33">
        <v>115</v>
      </c>
      <c r="B20" s="49" t="s">
        <v>35</v>
      </c>
      <c r="C20" s="50"/>
      <c r="D20" s="51"/>
      <c r="E20" s="52">
        <f t="shared" si="22"/>
        <v>0</v>
      </c>
      <c r="F20" s="50"/>
      <c r="G20" s="51"/>
      <c r="H20" s="52">
        <f t="shared" si="27"/>
        <v>0</v>
      </c>
      <c r="I20" s="50"/>
      <c r="J20" s="51"/>
      <c r="K20" s="52">
        <f t="shared" si="0"/>
        <v>0</v>
      </c>
      <c r="L20" s="50"/>
      <c r="M20" s="51"/>
      <c r="N20" s="52">
        <f t="shared" si="1"/>
        <v>0</v>
      </c>
      <c r="O20" s="50"/>
      <c r="P20" s="51"/>
      <c r="Q20" s="52">
        <f t="shared" si="2"/>
        <v>0</v>
      </c>
      <c r="R20" s="50"/>
      <c r="S20" s="51"/>
      <c r="T20" s="52">
        <f t="shared" si="3"/>
        <v>0</v>
      </c>
      <c r="U20" s="50"/>
      <c r="V20" s="51"/>
      <c r="W20" s="52">
        <f t="shared" si="4"/>
        <v>0</v>
      </c>
      <c r="X20" s="50"/>
      <c r="Y20" s="51"/>
      <c r="Z20" s="52">
        <f t="shared" si="5"/>
        <v>0</v>
      </c>
      <c r="AA20" s="50"/>
      <c r="AB20" s="51"/>
      <c r="AC20" s="52">
        <f t="shared" si="6"/>
        <v>0</v>
      </c>
      <c r="AD20" s="50"/>
      <c r="AE20" s="51"/>
      <c r="AF20" s="52">
        <f t="shared" si="7"/>
        <v>0</v>
      </c>
      <c r="AG20" s="50"/>
      <c r="AH20" s="51"/>
      <c r="AI20" s="52">
        <f t="shared" si="8"/>
        <v>0</v>
      </c>
      <c r="AJ20" s="50"/>
      <c r="AK20" s="51"/>
      <c r="AL20" s="52">
        <f t="shared" si="9"/>
        <v>0</v>
      </c>
      <c r="AM20" s="50"/>
      <c r="AN20" s="51"/>
      <c r="AO20" s="52">
        <f t="shared" si="10"/>
        <v>0</v>
      </c>
      <c r="AP20" s="50"/>
      <c r="AQ20" s="51"/>
      <c r="AR20" s="52">
        <f t="shared" si="11"/>
        <v>0</v>
      </c>
      <c r="AS20" s="50"/>
      <c r="AT20" s="51"/>
      <c r="AU20" s="52">
        <f t="shared" si="12"/>
        <v>0</v>
      </c>
      <c r="AV20" s="50"/>
      <c r="AW20" s="51"/>
      <c r="AX20" s="52">
        <f t="shared" si="13"/>
        <v>0</v>
      </c>
      <c r="AY20" s="50"/>
      <c r="AZ20" s="51"/>
      <c r="BA20" s="52">
        <f t="shared" si="14"/>
        <v>0</v>
      </c>
      <c r="BB20" s="50"/>
      <c r="BC20" s="51"/>
      <c r="BD20" s="52">
        <f t="shared" si="15"/>
        <v>0</v>
      </c>
      <c r="BE20" s="50"/>
      <c r="BF20" s="51"/>
      <c r="BG20" s="52">
        <f t="shared" si="16"/>
        <v>0</v>
      </c>
      <c r="BH20" s="50"/>
      <c r="BI20" s="51"/>
      <c r="BJ20" s="52">
        <f t="shared" si="17"/>
        <v>0</v>
      </c>
      <c r="BK20" s="50"/>
      <c r="BL20" s="51"/>
      <c r="BM20" s="52">
        <f t="shared" si="18"/>
        <v>0</v>
      </c>
      <c r="BN20" s="50"/>
      <c r="BO20" s="51"/>
      <c r="BP20" s="52">
        <f t="shared" si="19"/>
        <v>0</v>
      </c>
      <c r="BQ20" s="50"/>
      <c r="BR20" s="51"/>
      <c r="BS20" s="52">
        <f t="shared" si="20"/>
        <v>0</v>
      </c>
      <c r="BT20" s="50"/>
      <c r="BU20" s="51"/>
      <c r="BV20" s="52">
        <f t="shared" si="21"/>
        <v>0</v>
      </c>
      <c r="BW20" s="36">
        <f t="shared" si="23"/>
        <v>0</v>
      </c>
      <c r="BX20" s="36">
        <f t="shared" si="23"/>
        <v>0</v>
      </c>
      <c r="BY20" s="36">
        <f t="shared" si="24"/>
        <v>0</v>
      </c>
      <c r="BZ20" s="36">
        <f t="shared" si="25"/>
        <v>0</v>
      </c>
      <c r="CA20" s="36">
        <f t="shared" si="25"/>
        <v>0</v>
      </c>
      <c r="CB20" s="36">
        <f t="shared" si="26"/>
        <v>0</v>
      </c>
    </row>
    <row r="21" spans="1:82" outlineLevel="1" x14ac:dyDescent="0.2">
      <c r="A21" s="33">
        <v>211</v>
      </c>
      <c r="B21" s="49" t="s">
        <v>36</v>
      </c>
      <c r="C21" s="50"/>
      <c r="D21" s="50"/>
      <c r="E21" s="52">
        <f t="shared" si="22"/>
        <v>0</v>
      </c>
      <c r="F21" s="50"/>
      <c r="G21" s="50"/>
      <c r="H21" s="52">
        <f t="shared" si="27"/>
        <v>0</v>
      </c>
      <c r="I21" s="50"/>
      <c r="J21" s="50"/>
      <c r="K21" s="52">
        <f t="shared" si="0"/>
        <v>0</v>
      </c>
      <c r="L21" s="50"/>
      <c r="M21" s="50"/>
      <c r="N21" s="52">
        <f t="shared" si="1"/>
        <v>0</v>
      </c>
      <c r="O21" s="50"/>
      <c r="P21" s="50"/>
      <c r="Q21" s="52">
        <f t="shared" si="2"/>
        <v>0</v>
      </c>
      <c r="R21" s="50"/>
      <c r="S21" s="50"/>
      <c r="T21" s="52">
        <f t="shared" si="3"/>
        <v>0</v>
      </c>
      <c r="U21" s="50"/>
      <c r="V21" s="50"/>
      <c r="W21" s="52">
        <f t="shared" si="4"/>
        <v>0</v>
      </c>
      <c r="X21" s="50"/>
      <c r="Y21" s="50"/>
      <c r="Z21" s="52">
        <f t="shared" si="5"/>
        <v>0</v>
      </c>
      <c r="AA21" s="50"/>
      <c r="AB21" s="50"/>
      <c r="AC21" s="52">
        <f t="shared" si="6"/>
        <v>0</v>
      </c>
      <c r="AD21" s="50"/>
      <c r="AE21" s="50"/>
      <c r="AF21" s="52">
        <f t="shared" si="7"/>
        <v>0</v>
      </c>
      <c r="AG21" s="50"/>
      <c r="AH21" s="50"/>
      <c r="AI21" s="52">
        <f t="shared" si="8"/>
        <v>0</v>
      </c>
      <c r="AJ21" s="50"/>
      <c r="AK21" s="50"/>
      <c r="AL21" s="52">
        <f t="shared" si="9"/>
        <v>0</v>
      </c>
      <c r="AM21" s="50"/>
      <c r="AN21" s="50"/>
      <c r="AO21" s="52">
        <f t="shared" si="10"/>
        <v>0</v>
      </c>
      <c r="AP21" s="50"/>
      <c r="AQ21" s="50"/>
      <c r="AR21" s="52">
        <f t="shared" si="11"/>
        <v>0</v>
      </c>
      <c r="AS21" s="50"/>
      <c r="AT21" s="50"/>
      <c r="AU21" s="52">
        <f t="shared" si="12"/>
        <v>0</v>
      </c>
      <c r="AV21" s="50"/>
      <c r="AW21" s="50"/>
      <c r="AX21" s="52">
        <f t="shared" si="13"/>
        <v>0</v>
      </c>
      <c r="AY21" s="50"/>
      <c r="AZ21" s="50"/>
      <c r="BA21" s="52">
        <f t="shared" si="14"/>
        <v>0</v>
      </c>
      <c r="BB21" s="50"/>
      <c r="BC21" s="50"/>
      <c r="BD21" s="52">
        <f t="shared" si="15"/>
        <v>0</v>
      </c>
      <c r="BE21" s="50"/>
      <c r="BF21" s="50"/>
      <c r="BG21" s="52">
        <f t="shared" si="16"/>
        <v>0</v>
      </c>
      <c r="BH21" s="50"/>
      <c r="BI21" s="50"/>
      <c r="BJ21" s="52">
        <f t="shared" si="17"/>
        <v>0</v>
      </c>
      <c r="BK21" s="50"/>
      <c r="BL21" s="50"/>
      <c r="BM21" s="52">
        <f t="shared" si="18"/>
        <v>0</v>
      </c>
      <c r="BN21" s="50"/>
      <c r="BO21" s="50"/>
      <c r="BP21" s="52">
        <f t="shared" si="19"/>
        <v>0</v>
      </c>
      <c r="BQ21" s="50"/>
      <c r="BR21" s="50"/>
      <c r="BS21" s="52">
        <f t="shared" si="20"/>
        <v>0</v>
      </c>
      <c r="BT21" s="50"/>
      <c r="BU21" s="50"/>
      <c r="BV21" s="52">
        <f t="shared" si="21"/>
        <v>0</v>
      </c>
      <c r="BW21" s="36">
        <f t="shared" si="23"/>
        <v>0</v>
      </c>
      <c r="BX21" s="36">
        <f t="shared" si="23"/>
        <v>0</v>
      </c>
      <c r="BY21" s="36">
        <f t="shared" si="24"/>
        <v>0</v>
      </c>
      <c r="BZ21" s="36">
        <f t="shared" si="25"/>
        <v>0</v>
      </c>
      <c r="CA21" s="36">
        <f t="shared" si="25"/>
        <v>0</v>
      </c>
      <c r="CB21" s="36">
        <f t="shared" si="26"/>
        <v>0</v>
      </c>
      <c r="CC21" s="16">
        <f>+CB21+CB22+CB24-CB61-CB63</f>
        <v>740443</v>
      </c>
    </row>
    <row r="22" spans="1:82" outlineLevel="1" x14ac:dyDescent="0.2">
      <c r="A22" s="33">
        <v>212</v>
      </c>
      <c r="B22" s="49" t="s">
        <v>37</v>
      </c>
      <c r="C22" s="50"/>
      <c r="D22" s="50"/>
      <c r="E22" s="52">
        <f t="shared" si="22"/>
        <v>0</v>
      </c>
      <c r="F22" s="50"/>
      <c r="G22" s="50"/>
      <c r="H22" s="52">
        <f t="shared" si="27"/>
        <v>0</v>
      </c>
      <c r="I22" s="50"/>
      <c r="J22" s="50"/>
      <c r="K22" s="52">
        <f t="shared" si="0"/>
        <v>0</v>
      </c>
      <c r="L22" s="50"/>
      <c r="M22" s="50"/>
      <c r="N22" s="52">
        <f t="shared" si="1"/>
        <v>0</v>
      </c>
      <c r="O22" s="50"/>
      <c r="P22" s="50"/>
      <c r="Q22" s="52">
        <f t="shared" si="2"/>
        <v>0</v>
      </c>
      <c r="R22" s="50"/>
      <c r="S22" s="50"/>
      <c r="T22" s="52">
        <f t="shared" si="3"/>
        <v>0</v>
      </c>
      <c r="U22" s="50"/>
      <c r="V22" s="50"/>
      <c r="W22" s="52">
        <f t="shared" si="4"/>
        <v>0</v>
      </c>
      <c r="X22" s="50"/>
      <c r="Y22" s="50"/>
      <c r="Z22" s="52">
        <f t="shared" si="5"/>
        <v>0</v>
      </c>
      <c r="AA22" s="50"/>
      <c r="AB22" s="50"/>
      <c r="AC22" s="52">
        <f t="shared" si="6"/>
        <v>0</v>
      </c>
      <c r="AD22" s="50"/>
      <c r="AE22" s="50"/>
      <c r="AF22" s="52">
        <f t="shared" si="7"/>
        <v>0</v>
      </c>
      <c r="AG22" s="50"/>
      <c r="AH22" s="50"/>
      <c r="AI22" s="52">
        <f t="shared" si="8"/>
        <v>0</v>
      </c>
      <c r="AJ22" s="50"/>
      <c r="AK22" s="50"/>
      <c r="AL22" s="52">
        <f t="shared" si="9"/>
        <v>0</v>
      </c>
      <c r="AM22" s="50"/>
      <c r="AN22" s="50"/>
      <c r="AO22" s="52">
        <f t="shared" si="10"/>
        <v>0</v>
      </c>
      <c r="AP22" s="50"/>
      <c r="AQ22" s="50">
        <f>2500</f>
        <v>2500</v>
      </c>
      <c r="AR22" s="52">
        <f t="shared" si="11"/>
        <v>2500</v>
      </c>
      <c r="AS22" s="50"/>
      <c r="AT22" s="50"/>
      <c r="AU22" s="52">
        <f t="shared" si="12"/>
        <v>0</v>
      </c>
      <c r="AV22" s="50"/>
      <c r="AW22" s="50">
        <v>32179</v>
      </c>
      <c r="AX22" s="52">
        <f t="shared" si="13"/>
        <v>32179</v>
      </c>
      <c r="AY22" s="50"/>
      <c r="AZ22" s="50"/>
      <c r="BA22" s="52">
        <f t="shared" si="14"/>
        <v>0</v>
      </c>
      <c r="BB22" s="50">
        <v>22000</v>
      </c>
      <c r="BC22" s="50">
        <f>4500+111977</f>
        <v>116477</v>
      </c>
      <c r="BD22" s="52">
        <f t="shared" si="15"/>
        <v>138477</v>
      </c>
      <c r="BE22" s="50"/>
      <c r="BF22" s="50"/>
      <c r="BG22" s="52">
        <f t="shared" si="16"/>
        <v>0</v>
      </c>
      <c r="BH22" s="50">
        <v>224000</v>
      </c>
      <c r="BI22" s="50">
        <f>122529</f>
        <v>122529</v>
      </c>
      <c r="BJ22" s="52">
        <f t="shared" si="17"/>
        <v>346529</v>
      </c>
      <c r="BK22" s="50"/>
      <c r="BL22" s="50"/>
      <c r="BM22" s="52">
        <f t="shared" si="18"/>
        <v>0</v>
      </c>
      <c r="BN22" s="48">
        <v>328800</v>
      </c>
      <c r="BO22" s="50">
        <v>7900</v>
      </c>
      <c r="BP22" s="52">
        <f t="shared" si="19"/>
        <v>336700</v>
      </c>
      <c r="BQ22" s="50"/>
      <c r="BR22" s="50"/>
      <c r="BS22" s="52">
        <f t="shared" si="20"/>
        <v>0</v>
      </c>
      <c r="BT22" s="50"/>
      <c r="BU22" s="50"/>
      <c r="BV22" s="52">
        <f t="shared" si="21"/>
        <v>0</v>
      </c>
      <c r="BW22" s="36">
        <f t="shared" si="23"/>
        <v>0</v>
      </c>
      <c r="BX22" s="36">
        <f t="shared" si="23"/>
        <v>0</v>
      </c>
      <c r="BY22" s="36">
        <f t="shared" si="24"/>
        <v>0</v>
      </c>
      <c r="BZ22" s="36">
        <f t="shared" si="25"/>
        <v>574800</v>
      </c>
      <c r="CA22" s="36">
        <f t="shared" si="25"/>
        <v>281585</v>
      </c>
      <c r="CB22" s="36">
        <f t="shared" si="26"/>
        <v>856385</v>
      </c>
    </row>
    <row r="23" spans="1:82" s="44" customFormat="1" ht="24" outlineLevel="1" x14ac:dyDescent="0.2">
      <c r="A23" s="38"/>
      <c r="B23" s="39" t="s">
        <v>38</v>
      </c>
      <c r="C23" s="40"/>
      <c r="D23" s="40"/>
      <c r="E23" s="41">
        <f t="shared" si="22"/>
        <v>0</v>
      </c>
      <c r="F23" s="40"/>
      <c r="G23" s="40"/>
      <c r="H23" s="41">
        <f t="shared" si="27"/>
        <v>0</v>
      </c>
      <c r="I23" s="40"/>
      <c r="J23" s="40"/>
      <c r="K23" s="41">
        <f t="shared" si="0"/>
        <v>0</v>
      </c>
      <c r="L23" s="40"/>
      <c r="M23" s="40"/>
      <c r="N23" s="41">
        <f t="shared" si="1"/>
        <v>0</v>
      </c>
      <c r="O23" s="40"/>
      <c r="P23" s="40"/>
      <c r="Q23" s="41">
        <f t="shared" si="2"/>
        <v>0</v>
      </c>
      <c r="R23" s="40"/>
      <c r="S23" s="40"/>
      <c r="T23" s="41">
        <f t="shared" si="3"/>
        <v>0</v>
      </c>
      <c r="U23" s="40"/>
      <c r="V23" s="40"/>
      <c r="W23" s="41">
        <f t="shared" si="4"/>
        <v>0</v>
      </c>
      <c r="X23" s="40"/>
      <c r="Y23" s="40"/>
      <c r="Z23" s="41">
        <f t="shared" si="5"/>
        <v>0</v>
      </c>
      <c r="AA23" s="40"/>
      <c r="AB23" s="40"/>
      <c r="AC23" s="41">
        <f t="shared" si="6"/>
        <v>0</v>
      </c>
      <c r="AD23" s="40"/>
      <c r="AE23" s="40"/>
      <c r="AF23" s="41">
        <f t="shared" si="7"/>
        <v>0</v>
      </c>
      <c r="AG23" s="40"/>
      <c r="AH23" s="40"/>
      <c r="AI23" s="41">
        <f t="shared" si="8"/>
        <v>0</v>
      </c>
      <c r="AJ23" s="40"/>
      <c r="AK23" s="40"/>
      <c r="AL23" s="41">
        <f t="shared" si="9"/>
        <v>0</v>
      </c>
      <c r="AM23" s="40"/>
      <c r="AN23" s="40"/>
      <c r="AO23" s="41">
        <f t="shared" si="10"/>
        <v>0</v>
      </c>
      <c r="AP23" s="40"/>
      <c r="AQ23" s="40"/>
      <c r="AR23" s="41">
        <f t="shared" si="11"/>
        <v>0</v>
      </c>
      <c r="AS23" s="40"/>
      <c r="AT23" s="40"/>
      <c r="AU23" s="41">
        <f t="shared" si="12"/>
        <v>0</v>
      </c>
      <c r="AV23" s="40"/>
      <c r="AW23" s="40"/>
      <c r="AX23" s="41">
        <f t="shared" si="13"/>
        <v>0</v>
      </c>
      <c r="AY23" s="40"/>
      <c r="AZ23" s="40"/>
      <c r="BA23" s="41">
        <f t="shared" si="14"/>
        <v>0</v>
      </c>
      <c r="BB23" s="40"/>
      <c r="BC23" s="40"/>
      <c r="BD23" s="41">
        <f t="shared" si="15"/>
        <v>0</v>
      </c>
      <c r="BE23" s="40"/>
      <c r="BF23" s="40"/>
      <c r="BG23" s="41">
        <f t="shared" si="16"/>
        <v>0</v>
      </c>
      <c r="BH23" s="40"/>
      <c r="BI23" s="40"/>
      <c r="BJ23" s="41">
        <f t="shared" si="17"/>
        <v>0</v>
      </c>
      <c r="BK23" s="40"/>
      <c r="BL23" s="40"/>
      <c r="BM23" s="41">
        <f t="shared" si="18"/>
        <v>0</v>
      </c>
      <c r="BN23" s="40"/>
      <c r="BO23" s="40"/>
      <c r="BP23" s="41">
        <f t="shared" si="19"/>
        <v>0</v>
      </c>
      <c r="BQ23" s="40"/>
      <c r="BR23" s="40"/>
      <c r="BS23" s="41">
        <f t="shared" si="20"/>
        <v>0</v>
      </c>
      <c r="BT23" s="40"/>
      <c r="BU23" s="40"/>
      <c r="BV23" s="41">
        <f t="shared" si="21"/>
        <v>0</v>
      </c>
      <c r="BW23" s="43">
        <f t="shared" si="23"/>
        <v>0</v>
      </c>
      <c r="BX23" s="43">
        <f t="shared" si="23"/>
        <v>0</v>
      </c>
      <c r="BY23" s="43">
        <f t="shared" si="24"/>
        <v>0</v>
      </c>
      <c r="BZ23" s="43">
        <f t="shared" si="25"/>
        <v>0</v>
      </c>
      <c r="CA23" s="43">
        <f t="shared" si="25"/>
        <v>0</v>
      </c>
      <c r="CB23" s="43">
        <f t="shared" si="26"/>
        <v>0</v>
      </c>
    </row>
    <row r="24" spans="1:82" outlineLevel="1" x14ac:dyDescent="0.2">
      <c r="A24" s="33">
        <v>213</v>
      </c>
      <c r="B24" s="49" t="s">
        <v>39</v>
      </c>
      <c r="C24" s="50"/>
      <c r="D24" s="50"/>
      <c r="E24" s="52">
        <f t="shared" si="22"/>
        <v>0</v>
      </c>
      <c r="F24" s="50"/>
      <c r="G24" s="50"/>
      <c r="H24" s="52">
        <f t="shared" si="27"/>
        <v>0</v>
      </c>
      <c r="I24" s="50"/>
      <c r="J24" s="50"/>
      <c r="K24" s="52">
        <f t="shared" si="0"/>
        <v>0</v>
      </c>
      <c r="L24" s="50"/>
      <c r="M24" s="50"/>
      <c r="N24" s="52">
        <f t="shared" si="1"/>
        <v>0</v>
      </c>
      <c r="O24" s="50"/>
      <c r="P24" s="50"/>
      <c r="Q24" s="52">
        <f t="shared" si="2"/>
        <v>0</v>
      </c>
      <c r="R24" s="50"/>
      <c r="S24" s="50"/>
      <c r="T24" s="52">
        <f t="shared" si="3"/>
        <v>0</v>
      </c>
      <c r="U24" s="50"/>
      <c r="V24" s="50"/>
      <c r="W24" s="52">
        <f t="shared" si="4"/>
        <v>0</v>
      </c>
      <c r="X24" s="50"/>
      <c r="Y24" s="50"/>
      <c r="Z24" s="52">
        <f t="shared" si="5"/>
        <v>0</v>
      </c>
      <c r="AA24" s="50"/>
      <c r="AB24" s="50"/>
      <c r="AC24" s="52">
        <f t="shared" si="6"/>
        <v>0</v>
      </c>
      <c r="AD24" s="50"/>
      <c r="AE24" s="50"/>
      <c r="AF24" s="52">
        <f t="shared" si="7"/>
        <v>0</v>
      </c>
      <c r="AG24" s="50"/>
      <c r="AH24" s="50"/>
      <c r="AI24" s="52">
        <f t="shared" si="8"/>
        <v>0</v>
      </c>
      <c r="AJ24" s="50"/>
      <c r="AK24" s="50"/>
      <c r="AL24" s="52">
        <f t="shared" si="9"/>
        <v>0</v>
      </c>
      <c r="AM24" s="50"/>
      <c r="AN24" s="50"/>
      <c r="AO24" s="52">
        <f t="shared" si="10"/>
        <v>0</v>
      </c>
      <c r="AP24" s="50"/>
      <c r="AQ24" s="50"/>
      <c r="AR24" s="52">
        <f t="shared" si="11"/>
        <v>0</v>
      </c>
      <c r="AS24" s="50"/>
      <c r="AT24" s="50"/>
      <c r="AU24" s="52">
        <f t="shared" si="12"/>
        <v>0</v>
      </c>
      <c r="AV24" s="50"/>
      <c r="AW24" s="50"/>
      <c r="AX24" s="52">
        <f t="shared" si="13"/>
        <v>0</v>
      </c>
      <c r="AY24" s="50"/>
      <c r="AZ24" s="50"/>
      <c r="BA24" s="52">
        <f t="shared" si="14"/>
        <v>0</v>
      </c>
      <c r="BB24" s="50"/>
      <c r="BC24" s="50"/>
      <c r="BD24" s="52">
        <f t="shared" si="15"/>
        <v>0</v>
      </c>
      <c r="BE24" s="50"/>
      <c r="BF24" s="50"/>
      <c r="BG24" s="52">
        <f t="shared" si="16"/>
        <v>0</v>
      </c>
      <c r="BH24" s="50"/>
      <c r="BI24" s="50"/>
      <c r="BJ24" s="52">
        <f t="shared" si="17"/>
        <v>0</v>
      </c>
      <c r="BK24" s="50"/>
      <c r="BL24" s="50"/>
      <c r="BM24" s="52">
        <f t="shared" si="18"/>
        <v>0</v>
      </c>
      <c r="BN24" s="50"/>
      <c r="BO24" s="50"/>
      <c r="BP24" s="52">
        <f t="shared" si="19"/>
        <v>0</v>
      </c>
      <c r="BQ24" s="50"/>
      <c r="BR24" s="50"/>
      <c r="BS24" s="52">
        <f t="shared" si="20"/>
        <v>0</v>
      </c>
      <c r="BT24" s="50"/>
      <c r="BU24" s="50">
        <v>4493</v>
      </c>
      <c r="BV24" s="52">
        <f t="shared" si="21"/>
        <v>4493</v>
      </c>
      <c r="BW24" s="36">
        <f t="shared" si="23"/>
        <v>0</v>
      </c>
      <c r="BX24" s="36">
        <f t="shared" si="23"/>
        <v>0</v>
      </c>
      <c r="BY24" s="36">
        <f t="shared" si="24"/>
        <v>0</v>
      </c>
      <c r="BZ24" s="36">
        <f t="shared" si="25"/>
        <v>0</v>
      </c>
      <c r="CA24" s="36">
        <f t="shared" si="25"/>
        <v>4493</v>
      </c>
      <c r="CB24" s="36">
        <f t="shared" si="26"/>
        <v>4493</v>
      </c>
    </row>
    <row r="25" spans="1:82" s="44" customFormat="1" ht="24" outlineLevel="1" x14ac:dyDescent="0.2">
      <c r="A25" s="38"/>
      <c r="B25" s="39" t="s">
        <v>40</v>
      </c>
      <c r="C25" s="40"/>
      <c r="D25" s="40"/>
      <c r="E25" s="41">
        <f t="shared" si="22"/>
        <v>0</v>
      </c>
      <c r="F25" s="40"/>
      <c r="G25" s="40"/>
      <c r="H25" s="41">
        <f t="shared" si="27"/>
        <v>0</v>
      </c>
      <c r="I25" s="40"/>
      <c r="J25" s="40"/>
      <c r="K25" s="41">
        <f t="shared" si="0"/>
        <v>0</v>
      </c>
      <c r="L25" s="40"/>
      <c r="M25" s="40"/>
      <c r="N25" s="41">
        <f t="shared" si="1"/>
        <v>0</v>
      </c>
      <c r="O25" s="40"/>
      <c r="P25" s="40"/>
      <c r="Q25" s="41">
        <f t="shared" si="2"/>
        <v>0</v>
      </c>
      <c r="R25" s="40"/>
      <c r="S25" s="40"/>
      <c r="T25" s="41">
        <f t="shared" si="3"/>
        <v>0</v>
      </c>
      <c r="U25" s="40"/>
      <c r="V25" s="40"/>
      <c r="W25" s="41">
        <f t="shared" si="4"/>
        <v>0</v>
      </c>
      <c r="X25" s="40"/>
      <c r="Y25" s="40"/>
      <c r="Z25" s="41">
        <f t="shared" si="5"/>
        <v>0</v>
      </c>
      <c r="AA25" s="40"/>
      <c r="AB25" s="40"/>
      <c r="AC25" s="41">
        <f t="shared" si="6"/>
        <v>0</v>
      </c>
      <c r="AD25" s="40"/>
      <c r="AE25" s="40"/>
      <c r="AF25" s="41">
        <f t="shared" si="7"/>
        <v>0</v>
      </c>
      <c r="AG25" s="40"/>
      <c r="AH25" s="40"/>
      <c r="AI25" s="41">
        <f t="shared" si="8"/>
        <v>0</v>
      </c>
      <c r="AJ25" s="40"/>
      <c r="AK25" s="40"/>
      <c r="AL25" s="41">
        <f t="shared" si="9"/>
        <v>0</v>
      </c>
      <c r="AM25" s="40"/>
      <c r="AN25" s="40"/>
      <c r="AO25" s="41">
        <f t="shared" si="10"/>
        <v>0</v>
      </c>
      <c r="AP25" s="40"/>
      <c r="AQ25" s="40"/>
      <c r="AR25" s="41">
        <f t="shared" si="11"/>
        <v>0</v>
      </c>
      <c r="AS25" s="40"/>
      <c r="AT25" s="40"/>
      <c r="AU25" s="41">
        <f t="shared" si="12"/>
        <v>0</v>
      </c>
      <c r="AV25" s="40"/>
      <c r="AW25" s="40"/>
      <c r="AX25" s="41">
        <f t="shared" si="13"/>
        <v>0</v>
      </c>
      <c r="AY25" s="40"/>
      <c r="AZ25" s="40"/>
      <c r="BA25" s="41">
        <f t="shared" si="14"/>
        <v>0</v>
      </c>
      <c r="BB25" s="40"/>
      <c r="BC25" s="40"/>
      <c r="BD25" s="41">
        <f t="shared" si="15"/>
        <v>0</v>
      </c>
      <c r="BE25" s="40"/>
      <c r="BF25" s="40"/>
      <c r="BG25" s="41">
        <f t="shared" si="16"/>
        <v>0</v>
      </c>
      <c r="BH25" s="40"/>
      <c r="BI25" s="40"/>
      <c r="BJ25" s="41">
        <f t="shared" si="17"/>
        <v>0</v>
      </c>
      <c r="BK25" s="40"/>
      <c r="BL25" s="40"/>
      <c r="BM25" s="41">
        <f t="shared" si="18"/>
        <v>0</v>
      </c>
      <c r="BN25" s="40"/>
      <c r="BO25" s="40"/>
      <c r="BP25" s="41">
        <f t="shared" si="19"/>
        <v>0</v>
      </c>
      <c r="BQ25" s="40"/>
      <c r="BR25" s="40"/>
      <c r="BS25" s="41">
        <f t="shared" si="20"/>
        <v>0</v>
      </c>
      <c r="BT25" s="40"/>
      <c r="BU25" s="40"/>
      <c r="BV25" s="41">
        <f t="shared" si="21"/>
        <v>0</v>
      </c>
      <c r="BW25" s="43">
        <f t="shared" si="23"/>
        <v>0</v>
      </c>
      <c r="BX25" s="43">
        <f t="shared" si="23"/>
        <v>0</v>
      </c>
      <c r="BY25" s="43">
        <f t="shared" si="24"/>
        <v>0</v>
      </c>
      <c r="BZ25" s="43">
        <f t="shared" si="25"/>
        <v>0</v>
      </c>
      <c r="CA25" s="43">
        <f t="shared" si="25"/>
        <v>0</v>
      </c>
      <c r="CB25" s="43">
        <f t="shared" si="26"/>
        <v>0</v>
      </c>
    </row>
    <row r="26" spans="1:82" ht="25.5" outlineLevel="1" x14ac:dyDescent="0.2">
      <c r="A26" s="33">
        <v>214</v>
      </c>
      <c r="B26" s="49" t="s">
        <v>41</v>
      </c>
      <c r="C26" s="50"/>
      <c r="D26" s="50"/>
      <c r="E26" s="52">
        <f t="shared" si="22"/>
        <v>0</v>
      </c>
      <c r="F26" s="50"/>
      <c r="G26" s="50"/>
      <c r="H26" s="52"/>
      <c r="I26" s="50"/>
      <c r="J26" s="50"/>
      <c r="K26" s="52">
        <f t="shared" si="0"/>
        <v>0</v>
      </c>
      <c r="L26" s="50"/>
      <c r="M26" s="50"/>
      <c r="N26" s="52">
        <f t="shared" si="1"/>
        <v>0</v>
      </c>
      <c r="O26" s="50"/>
      <c r="P26" s="50"/>
      <c r="Q26" s="52">
        <f t="shared" si="2"/>
        <v>0</v>
      </c>
      <c r="R26" s="50"/>
      <c r="S26" s="50"/>
      <c r="T26" s="52">
        <f t="shared" si="3"/>
        <v>0</v>
      </c>
      <c r="U26" s="50"/>
      <c r="V26" s="50"/>
      <c r="W26" s="52">
        <f t="shared" si="4"/>
        <v>0</v>
      </c>
      <c r="X26" s="50"/>
      <c r="Y26" s="50"/>
      <c r="Z26" s="52">
        <f t="shared" si="5"/>
        <v>0</v>
      </c>
      <c r="AA26" s="50"/>
      <c r="AB26" s="50"/>
      <c r="AC26" s="52">
        <f t="shared" si="6"/>
        <v>0</v>
      </c>
      <c r="AD26" s="50"/>
      <c r="AE26" s="50"/>
      <c r="AF26" s="52">
        <f t="shared" si="7"/>
        <v>0</v>
      </c>
      <c r="AG26" s="50"/>
      <c r="AH26" s="50"/>
      <c r="AI26" s="52">
        <f t="shared" si="8"/>
        <v>0</v>
      </c>
      <c r="AJ26" s="50"/>
      <c r="AK26" s="50"/>
      <c r="AL26" s="52">
        <f t="shared" si="9"/>
        <v>0</v>
      </c>
      <c r="AM26" s="50"/>
      <c r="AN26" s="50"/>
      <c r="AO26" s="52">
        <f t="shared" si="10"/>
        <v>0</v>
      </c>
      <c r="AP26" s="50"/>
      <c r="AQ26" s="50"/>
      <c r="AR26" s="52">
        <f t="shared" si="11"/>
        <v>0</v>
      </c>
      <c r="AS26" s="50"/>
      <c r="AT26" s="50"/>
      <c r="AU26" s="52">
        <f t="shared" si="12"/>
        <v>0</v>
      </c>
      <c r="AV26" s="50"/>
      <c r="AW26" s="50"/>
      <c r="AX26" s="52">
        <f t="shared" si="13"/>
        <v>0</v>
      </c>
      <c r="AY26" s="50"/>
      <c r="AZ26" s="50"/>
      <c r="BA26" s="52">
        <f t="shared" si="14"/>
        <v>0</v>
      </c>
      <c r="BB26" s="50"/>
      <c r="BC26" s="50"/>
      <c r="BD26" s="52">
        <f t="shared" si="15"/>
        <v>0</v>
      </c>
      <c r="BE26" s="50"/>
      <c r="BF26" s="50"/>
      <c r="BG26" s="52">
        <f t="shared" si="16"/>
        <v>0</v>
      </c>
      <c r="BH26" s="50"/>
      <c r="BI26" s="50"/>
      <c r="BJ26" s="52">
        <f t="shared" si="17"/>
        <v>0</v>
      </c>
      <c r="BK26" s="50"/>
      <c r="BL26" s="50"/>
      <c r="BM26" s="52">
        <f t="shared" si="18"/>
        <v>0</v>
      </c>
      <c r="BN26" s="50"/>
      <c r="BO26" s="50"/>
      <c r="BP26" s="52">
        <f t="shared" si="19"/>
        <v>0</v>
      </c>
      <c r="BQ26" s="50"/>
      <c r="BR26" s="50"/>
      <c r="BS26" s="52">
        <f t="shared" si="20"/>
        <v>0</v>
      </c>
      <c r="BT26" s="50"/>
      <c r="BU26" s="50"/>
      <c r="BV26" s="52">
        <f t="shared" si="21"/>
        <v>0</v>
      </c>
      <c r="BW26" s="36">
        <f t="shared" si="23"/>
        <v>0</v>
      </c>
      <c r="BX26" s="36">
        <f t="shared" si="23"/>
        <v>0</v>
      </c>
      <c r="BY26" s="36">
        <f t="shared" si="24"/>
        <v>0</v>
      </c>
      <c r="BZ26" s="36">
        <f t="shared" si="25"/>
        <v>0</v>
      </c>
      <c r="CA26" s="36">
        <f t="shared" si="25"/>
        <v>0</v>
      </c>
      <c r="CB26" s="36">
        <f t="shared" si="26"/>
        <v>0</v>
      </c>
    </row>
    <row r="27" spans="1:82" outlineLevel="1" x14ac:dyDescent="0.2">
      <c r="A27" s="33">
        <v>311</v>
      </c>
      <c r="B27" s="49" t="s">
        <v>42</v>
      </c>
      <c r="C27" s="50"/>
      <c r="D27" s="50"/>
      <c r="E27" s="52">
        <f t="shared" si="22"/>
        <v>0</v>
      </c>
      <c r="F27" s="50"/>
      <c r="G27" s="50"/>
      <c r="H27" s="52">
        <f t="shared" si="27"/>
        <v>0</v>
      </c>
      <c r="I27" s="50"/>
      <c r="J27" s="50"/>
      <c r="K27" s="52">
        <f t="shared" si="0"/>
        <v>0</v>
      </c>
      <c r="L27" s="50"/>
      <c r="M27" s="50"/>
      <c r="N27" s="52">
        <f t="shared" si="1"/>
        <v>0</v>
      </c>
      <c r="O27" s="50"/>
      <c r="P27" s="50"/>
      <c r="Q27" s="52">
        <f t="shared" si="2"/>
        <v>0</v>
      </c>
      <c r="R27" s="50"/>
      <c r="S27" s="50"/>
      <c r="T27" s="52">
        <f t="shared" si="3"/>
        <v>0</v>
      </c>
      <c r="U27" s="50"/>
      <c r="V27" s="50"/>
      <c r="W27" s="52">
        <f t="shared" si="4"/>
        <v>0</v>
      </c>
      <c r="X27" s="50"/>
      <c r="Y27" s="50"/>
      <c r="Z27" s="52">
        <f t="shared" si="5"/>
        <v>0</v>
      </c>
      <c r="AA27" s="50"/>
      <c r="AB27" s="50"/>
      <c r="AC27" s="52">
        <f t="shared" si="6"/>
        <v>0</v>
      </c>
      <c r="AD27" s="50"/>
      <c r="AE27" s="50"/>
      <c r="AF27" s="52">
        <f t="shared" si="7"/>
        <v>0</v>
      </c>
      <c r="AG27" s="50"/>
      <c r="AH27" s="50"/>
      <c r="AI27" s="52">
        <f t="shared" si="8"/>
        <v>0</v>
      </c>
      <c r="AJ27" s="50"/>
      <c r="AK27" s="50"/>
      <c r="AL27" s="52">
        <f t="shared" si="9"/>
        <v>0</v>
      </c>
      <c r="AM27" s="50"/>
      <c r="AN27" s="50"/>
      <c r="AO27" s="52">
        <f t="shared" si="10"/>
        <v>0</v>
      </c>
      <c r="AP27" s="50"/>
      <c r="AQ27" s="50"/>
      <c r="AR27" s="52">
        <f t="shared" si="11"/>
        <v>0</v>
      </c>
      <c r="AS27" s="50"/>
      <c r="AT27" s="50"/>
      <c r="AU27" s="52">
        <f t="shared" si="12"/>
        <v>0</v>
      </c>
      <c r="AV27" s="50"/>
      <c r="AW27" s="50"/>
      <c r="AX27" s="52">
        <f t="shared" si="13"/>
        <v>0</v>
      </c>
      <c r="AY27" s="50"/>
      <c r="AZ27" s="50"/>
      <c r="BA27" s="52">
        <f t="shared" si="14"/>
        <v>0</v>
      </c>
      <c r="BB27" s="50"/>
      <c r="BC27" s="50"/>
      <c r="BD27" s="52">
        <f t="shared" si="15"/>
        <v>0</v>
      </c>
      <c r="BE27" s="50"/>
      <c r="BF27" s="50"/>
      <c r="BG27" s="52">
        <f t="shared" si="16"/>
        <v>0</v>
      </c>
      <c r="BH27" s="50"/>
      <c r="BI27" s="50"/>
      <c r="BJ27" s="52">
        <f t="shared" si="17"/>
        <v>0</v>
      </c>
      <c r="BK27" s="50"/>
      <c r="BL27" s="50"/>
      <c r="BM27" s="52">
        <f t="shared" si="18"/>
        <v>0</v>
      </c>
      <c r="BN27" s="50"/>
      <c r="BO27" s="50"/>
      <c r="BP27" s="52">
        <f t="shared" si="19"/>
        <v>0</v>
      </c>
      <c r="BQ27" s="50"/>
      <c r="BR27" s="50"/>
      <c r="BS27" s="52">
        <f t="shared" si="20"/>
        <v>0</v>
      </c>
      <c r="BT27" s="50"/>
      <c r="BU27" s="50"/>
      <c r="BV27" s="52">
        <f t="shared" si="21"/>
        <v>0</v>
      </c>
      <c r="BW27" s="36">
        <f t="shared" si="23"/>
        <v>0</v>
      </c>
      <c r="BX27" s="36">
        <f t="shared" si="23"/>
        <v>0</v>
      </c>
      <c r="BY27" s="36">
        <f t="shared" si="24"/>
        <v>0</v>
      </c>
      <c r="BZ27" s="36">
        <f t="shared" si="25"/>
        <v>0</v>
      </c>
      <c r="CA27" s="36">
        <f t="shared" si="25"/>
        <v>0</v>
      </c>
      <c r="CB27" s="36">
        <f t="shared" si="26"/>
        <v>0</v>
      </c>
    </row>
    <row r="28" spans="1:82" outlineLevel="1" x14ac:dyDescent="0.2">
      <c r="A28" s="33">
        <v>318</v>
      </c>
      <c r="B28" s="49" t="s">
        <v>43</v>
      </c>
      <c r="C28" s="50"/>
      <c r="D28" s="50"/>
      <c r="E28" s="52">
        <f t="shared" si="22"/>
        <v>0</v>
      </c>
      <c r="F28" s="50"/>
      <c r="G28" s="50"/>
      <c r="H28" s="52">
        <f t="shared" si="27"/>
        <v>0</v>
      </c>
      <c r="I28" s="50"/>
      <c r="J28" s="50"/>
      <c r="K28" s="52">
        <f t="shared" si="0"/>
        <v>0</v>
      </c>
      <c r="L28" s="50"/>
      <c r="M28" s="50"/>
      <c r="N28" s="52">
        <f t="shared" si="1"/>
        <v>0</v>
      </c>
      <c r="O28" s="50"/>
      <c r="P28" s="50"/>
      <c r="Q28" s="52">
        <f t="shared" si="2"/>
        <v>0</v>
      </c>
      <c r="R28" s="50"/>
      <c r="S28" s="50"/>
      <c r="T28" s="52">
        <f t="shared" si="3"/>
        <v>0</v>
      </c>
      <c r="U28" s="50"/>
      <c r="V28" s="50"/>
      <c r="W28" s="52">
        <f t="shared" si="4"/>
        <v>0</v>
      </c>
      <c r="X28" s="50"/>
      <c r="Y28" s="50"/>
      <c r="Z28" s="52">
        <f t="shared" si="5"/>
        <v>0</v>
      </c>
      <c r="AA28" s="50"/>
      <c r="AB28" s="50"/>
      <c r="AC28" s="52">
        <f t="shared" si="6"/>
        <v>0</v>
      </c>
      <c r="AD28" s="50"/>
      <c r="AE28" s="50"/>
      <c r="AF28" s="52">
        <f t="shared" si="7"/>
        <v>0</v>
      </c>
      <c r="AG28" s="50"/>
      <c r="AH28" s="50"/>
      <c r="AI28" s="52">
        <f t="shared" si="8"/>
        <v>0</v>
      </c>
      <c r="AJ28" s="50"/>
      <c r="AK28" s="50"/>
      <c r="AL28" s="52">
        <f t="shared" si="9"/>
        <v>0</v>
      </c>
      <c r="AM28" s="50"/>
      <c r="AN28" s="50"/>
      <c r="AO28" s="52">
        <f t="shared" si="10"/>
        <v>0</v>
      </c>
      <c r="AP28" s="50"/>
      <c r="AQ28" s="50"/>
      <c r="AR28" s="52">
        <f t="shared" si="11"/>
        <v>0</v>
      </c>
      <c r="AS28" s="50"/>
      <c r="AT28" s="50"/>
      <c r="AU28" s="52">
        <f t="shared" si="12"/>
        <v>0</v>
      </c>
      <c r="AV28" s="50"/>
      <c r="AW28" s="50"/>
      <c r="AX28" s="52">
        <f t="shared" si="13"/>
        <v>0</v>
      </c>
      <c r="AY28" s="50"/>
      <c r="AZ28" s="50"/>
      <c r="BA28" s="52">
        <f t="shared" si="14"/>
        <v>0</v>
      </c>
      <c r="BB28" s="50"/>
      <c r="BC28" s="50"/>
      <c r="BD28" s="52">
        <f t="shared" si="15"/>
        <v>0</v>
      </c>
      <c r="BE28" s="50"/>
      <c r="BF28" s="50"/>
      <c r="BG28" s="52">
        <f t="shared" si="16"/>
        <v>0</v>
      </c>
      <c r="BH28" s="50"/>
      <c r="BI28" s="50"/>
      <c r="BJ28" s="52">
        <f t="shared" si="17"/>
        <v>0</v>
      </c>
      <c r="BK28" s="50"/>
      <c r="BL28" s="50"/>
      <c r="BM28" s="52">
        <f t="shared" si="18"/>
        <v>0</v>
      </c>
      <c r="BN28" s="50"/>
      <c r="BO28" s="50"/>
      <c r="BP28" s="52">
        <f t="shared" si="19"/>
        <v>0</v>
      </c>
      <c r="BQ28" s="50"/>
      <c r="BR28" s="50"/>
      <c r="BS28" s="52">
        <f t="shared" si="20"/>
        <v>0</v>
      </c>
      <c r="BT28" s="50"/>
      <c r="BU28" s="50"/>
      <c r="BV28" s="52">
        <f t="shared" si="21"/>
        <v>0</v>
      </c>
      <c r="BW28" s="36">
        <f t="shared" si="23"/>
        <v>0</v>
      </c>
      <c r="BX28" s="36">
        <f t="shared" si="23"/>
        <v>0</v>
      </c>
      <c r="BY28" s="36">
        <f t="shared" si="24"/>
        <v>0</v>
      </c>
      <c r="BZ28" s="36">
        <f t="shared" si="25"/>
        <v>0</v>
      </c>
      <c r="CA28" s="36">
        <f t="shared" si="25"/>
        <v>0</v>
      </c>
      <c r="CB28" s="36">
        <f t="shared" si="26"/>
        <v>0</v>
      </c>
    </row>
    <row r="29" spans="1:82" outlineLevel="1" x14ac:dyDescent="0.2">
      <c r="A29" s="33">
        <v>319</v>
      </c>
      <c r="B29" s="49" t="s">
        <v>44</v>
      </c>
      <c r="C29" s="50"/>
      <c r="D29" s="51"/>
      <c r="E29" s="52">
        <f t="shared" si="22"/>
        <v>0</v>
      </c>
      <c r="F29" s="50"/>
      <c r="G29" s="51"/>
      <c r="H29" s="52">
        <f t="shared" si="27"/>
        <v>0</v>
      </c>
      <c r="I29" s="50"/>
      <c r="J29" s="51"/>
      <c r="K29" s="52">
        <f t="shared" si="0"/>
        <v>0</v>
      </c>
      <c r="L29" s="50"/>
      <c r="M29" s="51"/>
      <c r="N29" s="52">
        <f t="shared" si="1"/>
        <v>0</v>
      </c>
      <c r="O29" s="50"/>
      <c r="P29" s="51"/>
      <c r="Q29" s="52">
        <f t="shared" si="2"/>
        <v>0</v>
      </c>
      <c r="R29" s="50"/>
      <c r="S29" s="51"/>
      <c r="T29" s="52">
        <f t="shared" si="3"/>
        <v>0</v>
      </c>
      <c r="U29" s="50"/>
      <c r="V29" s="51"/>
      <c r="W29" s="52">
        <f t="shared" si="4"/>
        <v>0</v>
      </c>
      <c r="X29" s="50"/>
      <c r="Y29" s="51"/>
      <c r="Z29" s="52">
        <f t="shared" si="5"/>
        <v>0</v>
      </c>
      <c r="AA29" s="50"/>
      <c r="AB29" s="51"/>
      <c r="AC29" s="52">
        <f t="shared" si="6"/>
        <v>0</v>
      </c>
      <c r="AD29" s="50"/>
      <c r="AE29" s="51"/>
      <c r="AF29" s="52">
        <f t="shared" si="7"/>
        <v>0</v>
      </c>
      <c r="AG29" s="50"/>
      <c r="AH29" s="51"/>
      <c r="AI29" s="52">
        <f t="shared" si="8"/>
        <v>0</v>
      </c>
      <c r="AJ29" s="50"/>
      <c r="AK29" s="51"/>
      <c r="AL29" s="52">
        <f t="shared" si="9"/>
        <v>0</v>
      </c>
      <c r="AM29" s="50"/>
      <c r="AN29" s="51"/>
      <c r="AO29" s="52">
        <f t="shared" si="10"/>
        <v>0</v>
      </c>
      <c r="AP29" s="50"/>
      <c r="AQ29" s="51"/>
      <c r="AR29" s="52">
        <f t="shared" si="11"/>
        <v>0</v>
      </c>
      <c r="AS29" s="50"/>
      <c r="AT29" s="51"/>
      <c r="AU29" s="52">
        <f t="shared" si="12"/>
        <v>0</v>
      </c>
      <c r="AV29" s="50"/>
      <c r="AW29" s="51"/>
      <c r="AX29" s="52">
        <f t="shared" si="13"/>
        <v>0</v>
      </c>
      <c r="AY29" s="50"/>
      <c r="AZ29" s="51"/>
      <c r="BA29" s="52">
        <f t="shared" si="14"/>
        <v>0</v>
      </c>
      <c r="BB29" s="50"/>
      <c r="BC29" s="51"/>
      <c r="BD29" s="52">
        <f t="shared" si="15"/>
        <v>0</v>
      </c>
      <c r="BE29" s="50"/>
      <c r="BF29" s="51"/>
      <c r="BG29" s="52">
        <f t="shared" si="16"/>
        <v>0</v>
      </c>
      <c r="BH29" s="50"/>
      <c r="BI29" s="51"/>
      <c r="BJ29" s="52">
        <f t="shared" si="17"/>
        <v>0</v>
      </c>
      <c r="BK29" s="50"/>
      <c r="BL29" s="51"/>
      <c r="BM29" s="52">
        <f t="shared" si="18"/>
        <v>0</v>
      </c>
      <c r="BN29" s="50"/>
      <c r="BO29" s="51"/>
      <c r="BP29" s="52">
        <f t="shared" si="19"/>
        <v>0</v>
      </c>
      <c r="BQ29" s="50"/>
      <c r="BR29" s="51"/>
      <c r="BS29" s="52">
        <f t="shared" si="20"/>
        <v>0</v>
      </c>
      <c r="BT29" s="50"/>
      <c r="BU29" s="51"/>
      <c r="BV29" s="52">
        <f t="shared" si="21"/>
        <v>0</v>
      </c>
      <c r="BW29" s="36">
        <f t="shared" si="23"/>
        <v>0</v>
      </c>
      <c r="BX29" s="36">
        <f t="shared" si="23"/>
        <v>0</v>
      </c>
      <c r="BY29" s="36">
        <f t="shared" si="24"/>
        <v>0</v>
      </c>
      <c r="BZ29" s="36">
        <f t="shared" si="25"/>
        <v>0</v>
      </c>
      <c r="CA29" s="36">
        <f t="shared" si="25"/>
        <v>0</v>
      </c>
      <c r="CB29" s="36">
        <f t="shared" si="26"/>
        <v>0</v>
      </c>
      <c r="CD29" s="16"/>
    </row>
    <row r="30" spans="1:82" s="57" customFormat="1" x14ac:dyDescent="0.2">
      <c r="A30" s="53"/>
      <c r="B30" s="54" t="s">
        <v>45</v>
      </c>
      <c r="C30" s="55">
        <f>C12+C14+C16+C18+C20+C21+C22+C24+C26+C27+C28+C29</f>
        <v>0</v>
      </c>
      <c r="D30" s="55">
        <f>D12+D14+D16+D18+D20+D21+D22+D24+D26+D27+D28+D29</f>
        <v>0</v>
      </c>
      <c r="E30" s="55">
        <f t="shared" si="22"/>
        <v>0</v>
      </c>
      <c r="F30" s="55">
        <f>F12+F14+F16+F18+F20+F21+F22+F24+F26+F27+F28+F29</f>
        <v>0</v>
      </c>
      <c r="G30" s="55">
        <f>G12+G14+G16+G18+G20+G21+G22+G24+G26+G27+G28+G29</f>
        <v>0</v>
      </c>
      <c r="H30" s="55"/>
      <c r="I30" s="55">
        <f>I12+I14+I16+I18+I20+I21+I22+I24+I26+I27+I28+I29</f>
        <v>0</v>
      </c>
      <c r="J30" s="55">
        <f>J12+J14+J16+J18+J20+J21+J22+J24+J26+J27+J28+J29</f>
        <v>0</v>
      </c>
      <c r="K30" s="55">
        <f t="shared" si="0"/>
        <v>0</v>
      </c>
      <c r="L30" s="55">
        <f>L12+L14+L16+L18+L20+L21+L22+L24+L26+L27+L28+L29</f>
        <v>0</v>
      </c>
      <c r="M30" s="55">
        <f>M12+M14+M16+M18+M20+M21+M22+M24+M26+M27+M28+M29</f>
        <v>0</v>
      </c>
      <c r="N30" s="55">
        <f t="shared" si="1"/>
        <v>0</v>
      </c>
      <c r="O30" s="55">
        <f>O12+O14+O16+O18+O20+O21+O22+O24+O26+O27+O28+O29</f>
        <v>0</v>
      </c>
      <c r="P30" s="55">
        <f>P12+P14+P16+P18+P20+P21+P22+P24+P26+P27+P28+P29</f>
        <v>0</v>
      </c>
      <c r="Q30" s="55">
        <f t="shared" si="2"/>
        <v>0</v>
      </c>
      <c r="R30" s="55">
        <f>R12+R14+R16+R18+R20+R21+R22+R24+R26+R27+R28+R29</f>
        <v>0</v>
      </c>
      <c r="S30" s="55">
        <f>S12+S14+S16+S18+S20+S21+S22+S24+S26+S27+S28+S29</f>
        <v>0</v>
      </c>
      <c r="T30" s="55">
        <f t="shared" si="3"/>
        <v>0</v>
      </c>
      <c r="U30" s="55">
        <f>U12+U14+U16+U18+U20+U21+U22+U24+U26+U27+U28+U29</f>
        <v>0</v>
      </c>
      <c r="V30" s="55">
        <f>V12+V14+V16+V18+V20+V21+V22+V24+V26+V27+V28+V29</f>
        <v>0</v>
      </c>
      <c r="W30" s="55">
        <f t="shared" si="4"/>
        <v>0</v>
      </c>
      <c r="X30" s="55">
        <f>X12+X14+X16+X18+X20+X21+X22+X24+X26+X27+X28+X29</f>
        <v>0</v>
      </c>
      <c r="Y30" s="55">
        <f>Y12+Y14+Y16+Y18+Y20+Y21+Y22+Y24+Y26+Y27+Y28+Y29</f>
        <v>0</v>
      </c>
      <c r="Z30" s="55">
        <f t="shared" si="5"/>
        <v>0</v>
      </c>
      <c r="AA30" s="55">
        <f>AA12+AA14+AA16+AA18+AA20+AA21+AA22+AA24+AA26+AA27+AA28+AA29</f>
        <v>0</v>
      </c>
      <c r="AB30" s="55">
        <f>AB12+AB14+AB16+AB18+AB20+AB21+AB22+AB24+AB26+AB27+AB28+AB29</f>
        <v>0</v>
      </c>
      <c r="AC30" s="55">
        <f t="shared" si="6"/>
        <v>0</v>
      </c>
      <c r="AD30" s="55">
        <f>AD12+AD14+AD16+AD18+AD20+AD21+AD22+AD24+AD26+AD27+AD28+AD29</f>
        <v>0</v>
      </c>
      <c r="AE30" s="55">
        <f>AE12+AE14+AE16+AE18+AE20+AE21+AE22+AE24+AE26+AE27+AE28+AE29</f>
        <v>0</v>
      </c>
      <c r="AF30" s="55">
        <f t="shared" si="7"/>
        <v>0</v>
      </c>
      <c r="AG30" s="55">
        <f>AG12+AG14+AG16+AG18+AG20+AG21+AG22+AG24+AG26+AG27+AG28+AG29</f>
        <v>0</v>
      </c>
      <c r="AH30" s="55">
        <f>AH12+AH14+AH16+AH18+AH20+AH21+AH22+AH24+AH26+AH27+AH28+AH29</f>
        <v>0</v>
      </c>
      <c r="AI30" s="55">
        <f t="shared" si="8"/>
        <v>0</v>
      </c>
      <c r="AJ30" s="55">
        <f>AJ12+AJ14+AJ16+AJ18+AJ20+AJ21+AJ22+AJ24+AJ26+AJ27+AJ28+AJ29</f>
        <v>0</v>
      </c>
      <c r="AK30" s="55">
        <f>AK12+AK14+AK16+AK18+AK20+AK21+AK22+AK24+AK26+AK27+AK28+AK29</f>
        <v>0</v>
      </c>
      <c r="AL30" s="55">
        <f t="shared" si="9"/>
        <v>0</v>
      </c>
      <c r="AM30" s="55">
        <f>AM12+AM14+AM16+AM18+AM20+AM21+AM22+AM24+AM26+AM27+AM28+AM29</f>
        <v>0</v>
      </c>
      <c r="AN30" s="55">
        <f>AN12+AN14+AN16+AN18+AN20+AN21+AN22+AN24+AN26+AN27+AN28+AN29</f>
        <v>0</v>
      </c>
      <c r="AO30" s="55">
        <f t="shared" si="10"/>
        <v>0</v>
      </c>
      <c r="AP30" s="55">
        <f>AP12+AP14+AP16+AP18+AP20+AP21+AP22+AP24+AP26+AP27+AP28+AP29</f>
        <v>0</v>
      </c>
      <c r="AQ30" s="55">
        <f>AQ12+AQ14+AQ16+AQ18+AQ20+AQ21+AQ22+AQ24+AQ26+AQ27+AQ28+AQ29</f>
        <v>2500</v>
      </c>
      <c r="AR30" s="55">
        <f t="shared" si="11"/>
        <v>2500</v>
      </c>
      <c r="AS30" s="55">
        <f>AS12+AS14+AS16+AS18+AS20+AS21+AS22+AS24+AS26+AS27+AS28+AS29</f>
        <v>0</v>
      </c>
      <c r="AT30" s="55">
        <f>AT12+AT14+AT16+AT18+AT20+AT21+AT22+AT24+AT26+AT27+AT28+AT29</f>
        <v>0</v>
      </c>
      <c r="AU30" s="55">
        <f t="shared" si="12"/>
        <v>0</v>
      </c>
      <c r="AV30" s="55">
        <f>AV12+AV14+AV16+AV18+AV20+AV21+AV22+AV24+AV26+AV27+AV28+AV29</f>
        <v>0</v>
      </c>
      <c r="AW30" s="55">
        <f>AW12+AW14+AW16+AW18+AW20+AW21+AW22+AW24+AW26+AW27+AW28+AW29</f>
        <v>32179</v>
      </c>
      <c r="AX30" s="55">
        <f t="shared" si="13"/>
        <v>32179</v>
      </c>
      <c r="AY30" s="55">
        <f>AY12+AY14+AY16+AY18+AY20+AY21+AY22+AY24+AY26+AY27+AY28+AY29</f>
        <v>0</v>
      </c>
      <c r="AZ30" s="55">
        <f>AZ12+AZ14+AZ16+AZ18+AZ20+AZ21+AZ22+AZ24+AZ26+AZ27+AZ28+AZ29</f>
        <v>0</v>
      </c>
      <c r="BA30" s="55">
        <f t="shared" si="14"/>
        <v>0</v>
      </c>
      <c r="BB30" s="55">
        <f>BB12+BB14+BB16+BB18+BB20+BB21+BB22+BB24+BB26+BB27+BB28+BB29</f>
        <v>22000</v>
      </c>
      <c r="BC30" s="55">
        <f>BC12+BC14+BC16+BC18+BC20+BC21+BC22+BC24+BC26+BC27+BC28+BC29</f>
        <v>183177</v>
      </c>
      <c r="BD30" s="55">
        <f t="shared" si="15"/>
        <v>205177</v>
      </c>
      <c r="BE30" s="55">
        <f>BE12+BE14+BE16+BE18+BE20+BE21+BE22+BE24+BE26+BE27+BE28+BE29</f>
        <v>0</v>
      </c>
      <c r="BF30" s="55">
        <f>BF12+BF14+BF16+BF18+BF20+BF21+BF22+BF24+BF26+BF27+BF28+BF29</f>
        <v>0</v>
      </c>
      <c r="BG30" s="55">
        <f t="shared" si="16"/>
        <v>0</v>
      </c>
      <c r="BH30" s="55">
        <f>BH12+BH14+BH16+BH18+BH20+BH21+BH22+BH24+BH26+BH27+BH28+BH29</f>
        <v>224090</v>
      </c>
      <c r="BI30" s="55">
        <f>BI12+BI14+BI16+BI18+BI20+BI21+BI22+BI24+BI26+BI27+BI28+BI29</f>
        <v>171771</v>
      </c>
      <c r="BJ30" s="55">
        <f t="shared" si="17"/>
        <v>395861</v>
      </c>
      <c r="BK30" s="55">
        <f>BK12+BK14+BK16+BK18+BK20+BK21+BK22+BK24+BK26+BK27+BK28+BK29</f>
        <v>0</v>
      </c>
      <c r="BL30" s="55">
        <f>BL12+BL14+BL16+BL18+BL20+BL21+BL22+BL24+BL26+BL27+BL28+BL29</f>
        <v>0</v>
      </c>
      <c r="BM30" s="55">
        <f t="shared" si="18"/>
        <v>0</v>
      </c>
      <c r="BN30" s="55">
        <f>BN12+BN14+BN16+BN18+BN20+BN21+BN22+BN24+BN26+BN27+BN28+BN29</f>
        <v>741931.74</v>
      </c>
      <c r="BO30" s="55">
        <f>BO12+BO14+BO16+BO18+BO20+BO21+BO22+BO24+BO26+BO27+BO28+BO29</f>
        <v>193400</v>
      </c>
      <c r="BP30" s="55">
        <f t="shared" si="19"/>
        <v>935331.74</v>
      </c>
      <c r="BQ30" s="55">
        <f>BQ12+BQ14+BQ16+BQ18+BQ20+BQ21+BQ22+BQ24+BQ26+BQ27+BQ28+BQ29</f>
        <v>0</v>
      </c>
      <c r="BR30" s="55">
        <f>BR12+BR14+BR16+BR18+BR20+BR21+BR22+BR24+BR26+BR27+BR28+BR29</f>
        <v>0</v>
      </c>
      <c r="BS30" s="55">
        <f t="shared" si="20"/>
        <v>0</v>
      </c>
      <c r="BT30" s="55">
        <f>BT12+BT14+BT16+BT18+BT20+BT21+BT22+BT24+BT26+BT27+BT28+BT29</f>
        <v>1374594.83</v>
      </c>
      <c r="BU30" s="55">
        <f>BU12+BU14+BU16+BU18+BU20+BU21+BU22+BU24+BU26+BU27+BU28+BU29</f>
        <v>126793</v>
      </c>
      <c r="BV30" s="55">
        <f t="shared" si="21"/>
        <v>1501387.83</v>
      </c>
      <c r="BW30" s="56">
        <f>BW12+BW14+BW16+BW18+BW20+BW21+BW22+BW24+BW26+BW27+BW28+BW29</f>
        <v>0</v>
      </c>
      <c r="BX30" s="56">
        <f>BX12+BX14+BX16+BX18+BX20+BX21+BX22+BX24+BX26+BX27+BX28+BX29</f>
        <v>0</v>
      </c>
      <c r="BY30" s="56">
        <f t="shared" si="24"/>
        <v>0</v>
      </c>
      <c r="BZ30" s="56">
        <f>BZ12+BZ14+BZ16+BZ18+BZ20+BZ21+BZ22+BZ24+BZ26+BZ27+BZ28+BZ29</f>
        <v>2362616.5700000003</v>
      </c>
      <c r="CA30" s="56">
        <f>CA12+CA14+CA16+CA18+CA20+CA21+CA22+CA24+CA26+CA27+CA28+CA29</f>
        <v>709820</v>
      </c>
      <c r="CB30" s="56">
        <f t="shared" si="26"/>
        <v>3072436.5700000003</v>
      </c>
    </row>
    <row r="31" spans="1:82" ht="15" x14ac:dyDescent="0.2">
      <c r="A31" s="29" t="s">
        <v>46</v>
      </c>
      <c r="B31" s="29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31"/>
      <c r="BX31" s="31"/>
      <c r="BY31" s="31"/>
      <c r="BZ31" s="31"/>
      <c r="CA31" s="31"/>
      <c r="CB31" s="31"/>
    </row>
    <row r="32" spans="1:82" outlineLevel="1" x14ac:dyDescent="0.2">
      <c r="A32" s="33">
        <v>121</v>
      </c>
      <c r="B32" s="49" t="s">
        <v>47</v>
      </c>
      <c r="C32" s="50"/>
      <c r="D32" s="50"/>
      <c r="E32" s="52">
        <f t="shared" si="22"/>
        <v>0</v>
      </c>
      <c r="F32" s="50"/>
      <c r="G32" s="50"/>
      <c r="H32" s="52">
        <f t="shared" ref="H32:H70" si="28">F32+G32</f>
        <v>0</v>
      </c>
      <c r="I32" s="50"/>
      <c r="J32" s="50"/>
      <c r="K32" s="52">
        <f t="shared" ref="K32:K70" si="29">I32+J32</f>
        <v>0</v>
      </c>
      <c r="L32" s="50"/>
      <c r="M32" s="50"/>
      <c r="N32" s="52"/>
      <c r="O32" s="50"/>
      <c r="P32" s="50"/>
      <c r="Q32" s="52">
        <f t="shared" ref="Q32:Q70" si="30">O32+P32</f>
        <v>0</v>
      </c>
      <c r="R32" s="50"/>
      <c r="S32" s="50"/>
      <c r="T32" s="52">
        <f t="shared" ref="T32:T70" si="31">R32+S32</f>
        <v>0</v>
      </c>
      <c r="U32" s="50"/>
      <c r="V32" s="50"/>
      <c r="W32" s="52">
        <f t="shared" ref="W32:W70" si="32">U32+V32</f>
        <v>0</v>
      </c>
      <c r="X32" s="50"/>
      <c r="Y32" s="50"/>
      <c r="Z32" s="52">
        <f t="shared" ref="Z32:Z70" si="33">X32+Y32</f>
        <v>0</v>
      </c>
      <c r="AA32" s="50"/>
      <c r="AB32" s="50"/>
      <c r="AC32" s="52">
        <f t="shared" ref="AC32:AC70" si="34">AA32+AB32</f>
        <v>0</v>
      </c>
      <c r="AD32" s="50"/>
      <c r="AE32" s="50"/>
      <c r="AF32" s="52">
        <f t="shared" ref="AF32:AF70" si="35">AD32+AE32</f>
        <v>0</v>
      </c>
      <c r="AG32" s="50"/>
      <c r="AH32" s="50"/>
      <c r="AI32" s="52">
        <f t="shared" ref="AI32:AI70" si="36">AG32+AH32</f>
        <v>0</v>
      </c>
      <c r="AJ32" s="50"/>
      <c r="AK32" s="50"/>
      <c r="AL32" s="52">
        <f t="shared" ref="AL32:AL70" si="37">AJ32+AK32</f>
        <v>0</v>
      </c>
      <c r="AM32" s="50"/>
      <c r="AN32" s="50"/>
      <c r="AO32" s="52">
        <f t="shared" ref="AO32:AO70" si="38">AM32+AN32</f>
        <v>0</v>
      </c>
      <c r="AP32" s="50"/>
      <c r="AQ32" s="50"/>
      <c r="AR32" s="52">
        <f t="shared" ref="AR32:AR70" si="39">AP32+AQ32</f>
        <v>0</v>
      </c>
      <c r="AS32" s="50"/>
      <c r="AT32" s="50"/>
      <c r="AU32" s="52">
        <f t="shared" ref="AU32:AU70" si="40">AS32+AT32</f>
        <v>0</v>
      </c>
      <c r="AV32" s="50"/>
      <c r="AW32" s="50"/>
      <c r="AX32" s="52">
        <f t="shared" ref="AX32:AX70" si="41">AV32+AW32</f>
        <v>0</v>
      </c>
      <c r="AY32" s="50"/>
      <c r="AZ32" s="50"/>
      <c r="BA32" s="52">
        <f t="shared" ref="BA32:BA70" si="42">AY32+AZ32</f>
        <v>0</v>
      </c>
      <c r="BB32" s="50">
        <v>12239.04</v>
      </c>
      <c r="BC32" s="50">
        <f>530+70</f>
        <v>600</v>
      </c>
      <c r="BD32" s="52">
        <f t="shared" ref="BD32:BD70" si="43">BB32+BC32</f>
        <v>12839.04</v>
      </c>
      <c r="BE32" s="50"/>
      <c r="BF32" s="50"/>
      <c r="BG32" s="52">
        <f t="shared" ref="BG32:BG70" si="44">BE32+BF32</f>
        <v>0</v>
      </c>
      <c r="BH32" s="48">
        <v>175337.22</v>
      </c>
      <c r="BI32" s="50">
        <f>69</f>
        <v>69</v>
      </c>
      <c r="BJ32" s="52">
        <f t="shared" ref="BJ32:BJ70" si="45">BH32+BI32</f>
        <v>175406.22</v>
      </c>
      <c r="BK32" s="50"/>
      <c r="BL32" s="50"/>
      <c r="BM32" s="52">
        <f t="shared" ref="BM32:BM70" si="46">BK32+BL32</f>
        <v>0</v>
      </c>
      <c r="BN32" s="48">
        <v>554225.31999999995</v>
      </c>
      <c r="BO32" s="50">
        <f>920</f>
        <v>920</v>
      </c>
      <c r="BP32" s="52">
        <f t="shared" ref="BP32:BP70" si="47">BN32+BO32</f>
        <v>555145.31999999995</v>
      </c>
      <c r="BQ32" s="50"/>
      <c r="BR32" s="50"/>
      <c r="BS32" s="52">
        <f t="shared" ref="BS32:BS70" si="48">BQ32+BR32</f>
        <v>0</v>
      </c>
      <c r="BT32" s="48">
        <f>1467635.59-20877-6999-999</f>
        <v>1438760.59</v>
      </c>
      <c r="BU32" s="50"/>
      <c r="BV32" s="52">
        <f t="shared" ref="BV32:BV70" si="49">BT32+BU32</f>
        <v>1438760.59</v>
      </c>
      <c r="BW32" s="36">
        <f t="shared" si="23"/>
        <v>0</v>
      </c>
      <c r="BX32" s="36">
        <f t="shared" si="23"/>
        <v>0</v>
      </c>
      <c r="BY32" s="36">
        <f t="shared" si="24"/>
        <v>0</v>
      </c>
      <c r="BZ32" s="36">
        <f t="shared" si="25"/>
        <v>2180562.17</v>
      </c>
      <c r="CA32" s="36">
        <f t="shared" si="25"/>
        <v>1589</v>
      </c>
      <c r="CB32" s="36">
        <f t="shared" si="26"/>
        <v>2182151.17</v>
      </c>
    </row>
    <row r="33" spans="1:80" s="44" customFormat="1" ht="24" outlineLevel="1" x14ac:dyDescent="0.2">
      <c r="A33" s="38"/>
      <c r="B33" s="39" t="s">
        <v>48</v>
      </c>
      <c r="C33" s="59"/>
      <c r="D33" s="59"/>
      <c r="E33" s="60">
        <f t="shared" si="22"/>
        <v>0</v>
      </c>
      <c r="F33" s="59"/>
      <c r="G33" s="59"/>
      <c r="H33" s="60">
        <f t="shared" si="28"/>
        <v>0</v>
      </c>
      <c r="I33" s="59"/>
      <c r="J33" s="59"/>
      <c r="K33" s="60">
        <f t="shared" si="29"/>
        <v>0</v>
      </c>
      <c r="L33" s="59"/>
      <c r="M33" s="59"/>
      <c r="N33" s="60">
        <f t="shared" ref="N33:N70" si="50">L33+M33</f>
        <v>0</v>
      </c>
      <c r="O33" s="59"/>
      <c r="P33" s="59"/>
      <c r="Q33" s="60">
        <f t="shared" si="30"/>
        <v>0</v>
      </c>
      <c r="R33" s="59"/>
      <c r="S33" s="59"/>
      <c r="T33" s="60">
        <f t="shared" si="31"/>
        <v>0</v>
      </c>
      <c r="U33" s="59"/>
      <c r="V33" s="59"/>
      <c r="W33" s="60">
        <f t="shared" si="32"/>
        <v>0</v>
      </c>
      <c r="X33" s="59"/>
      <c r="Y33" s="59"/>
      <c r="Z33" s="60">
        <f t="shared" si="33"/>
        <v>0</v>
      </c>
      <c r="AA33" s="59"/>
      <c r="AB33" s="59"/>
      <c r="AC33" s="60">
        <f t="shared" si="34"/>
        <v>0</v>
      </c>
      <c r="AD33" s="59"/>
      <c r="AE33" s="59"/>
      <c r="AF33" s="60">
        <f t="shared" si="35"/>
        <v>0</v>
      </c>
      <c r="AG33" s="59"/>
      <c r="AH33" s="59"/>
      <c r="AI33" s="60">
        <f t="shared" si="36"/>
        <v>0</v>
      </c>
      <c r="AJ33" s="59"/>
      <c r="AK33" s="59"/>
      <c r="AL33" s="60">
        <f t="shared" si="37"/>
        <v>0</v>
      </c>
      <c r="AM33" s="59"/>
      <c r="AN33" s="59"/>
      <c r="AO33" s="60">
        <f t="shared" si="38"/>
        <v>0</v>
      </c>
      <c r="AP33" s="59"/>
      <c r="AQ33" s="59"/>
      <c r="AR33" s="60">
        <f t="shared" si="39"/>
        <v>0</v>
      </c>
      <c r="AS33" s="59"/>
      <c r="AT33" s="59"/>
      <c r="AU33" s="60">
        <f t="shared" si="40"/>
        <v>0</v>
      </c>
      <c r="AV33" s="59"/>
      <c r="AW33" s="59"/>
      <c r="AX33" s="60">
        <f t="shared" si="41"/>
        <v>0</v>
      </c>
      <c r="AY33" s="59"/>
      <c r="AZ33" s="59"/>
      <c r="BA33" s="60">
        <f t="shared" si="42"/>
        <v>0</v>
      </c>
      <c r="BB33" s="59"/>
      <c r="BC33" s="59"/>
      <c r="BD33" s="60">
        <f t="shared" si="43"/>
        <v>0</v>
      </c>
      <c r="BE33" s="59"/>
      <c r="BF33" s="59"/>
      <c r="BG33" s="60">
        <f t="shared" si="44"/>
        <v>0</v>
      </c>
      <c r="BH33" s="59"/>
      <c r="BI33" s="59"/>
      <c r="BJ33" s="60">
        <f t="shared" si="45"/>
        <v>0</v>
      </c>
      <c r="BK33" s="59"/>
      <c r="BL33" s="59"/>
      <c r="BM33" s="60">
        <f t="shared" si="46"/>
        <v>0</v>
      </c>
      <c r="BN33" s="59"/>
      <c r="BO33" s="59"/>
      <c r="BP33" s="60">
        <f t="shared" si="47"/>
        <v>0</v>
      </c>
      <c r="BQ33" s="59"/>
      <c r="BR33" s="59"/>
      <c r="BS33" s="60">
        <f t="shared" si="48"/>
        <v>0</v>
      </c>
      <c r="BT33" s="59"/>
      <c r="BU33" s="59"/>
      <c r="BV33" s="60">
        <f t="shared" si="49"/>
        <v>0</v>
      </c>
      <c r="BW33" s="43">
        <f t="shared" si="23"/>
        <v>0</v>
      </c>
      <c r="BX33" s="43">
        <f t="shared" si="23"/>
        <v>0</v>
      </c>
      <c r="BY33" s="43">
        <f t="shared" si="24"/>
        <v>0</v>
      </c>
      <c r="BZ33" s="43">
        <f t="shared" si="25"/>
        <v>0</v>
      </c>
      <c r="CA33" s="43">
        <f t="shared" si="25"/>
        <v>0</v>
      </c>
      <c r="CB33" s="43">
        <f t="shared" si="26"/>
        <v>0</v>
      </c>
    </row>
    <row r="34" spans="1:80" outlineLevel="1" x14ac:dyDescent="0.2">
      <c r="A34" s="33">
        <v>122</v>
      </c>
      <c r="B34" s="49" t="s">
        <v>49</v>
      </c>
      <c r="C34" s="51"/>
      <c r="D34" s="51"/>
      <c r="E34" s="52">
        <f t="shared" si="22"/>
        <v>0</v>
      </c>
      <c r="F34" s="51"/>
      <c r="G34" s="51"/>
      <c r="H34" s="52">
        <f t="shared" si="28"/>
        <v>0</v>
      </c>
      <c r="I34" s="51"/>
      <c r="J34" s="51"/>
      <c r="K34" s="52">
        <f t="shared" si="29"/>
        <v>0</v>
      </c>
      <c r="L34" s="51"/>
      <c r="M34" s="51"/>
      <c r="N34" s="52">
        <f t="shared" si="50"/>
        <v>0</v>
      </c>
      <c r="O34" s="51"/>
      <c r="P34" s="51"/>
      <c r="Q34" s="52">
        <f t="shared" si="30"/>
        <v>0</v>
      </c>
      <c r="R34" s="51"/>
      <c r="S34" s="51"/>
      <c r="T34" s="52">
        <f t="shared" si="31"/>
        <v>0</v>
      </c>
      <c r="U34" s="51"/>
      <c r="V34" s="51"/>
      <c r="W34" s="52">
        <f t="shared" si="32"/>
        <v>0</v>
      </c>
      <c r="X34" s="51"/>
      <c r="Y34" s="51"/>
      <c r="Z34" s="52">
        <f t="shared" si="33"/>
        <v>0</v>
      </c>
      <c r="AA34" s="51"/>
      <c r="AB34" s="51"/>
      <c r="AC34" s="52">
        <f t="shared" si="34"/>
        <v>0</v>
      </c>
      <c r="AD34" s="51"/>
      <c r="AE34" s="51"/>
      <c r="AF34" s="52">
        <f t="shared" si="35"/>
        <v>0</v>
      </c>
      <c r="AG34" s="51"/>
      <c r="AH34" s="51"/>
      <c r="AI34" s="52">
        <f t="shared" si="36"/>
        <v>0</v>
      </c>
      <c r="AJ34" s="51"/>
      <c r="AK34" s="51"/>
      <c r="AL34" s="52">
        <f t="shared" si="37"/>
        <v>0</v>
      </c>
      <c r="AM34" s="51"/>
      <c r="AN34" s="51"/>
      <c r="AO34" s="52">
        <f t="shared" si="38"/>
        <v>0</v>
      </c>
      <c r="AP34" s="51"/>
      <c r="AQ34" s="51"/>
      <c r="AR34" s="52">
        <f t="shared" si="39"/>
        <v>0</v>
      </c>
      <c r="AS34" s="51"/>
      <c r="AT34" s="51"/>
      <c r="AU34" s="52">
        <f t="shared" si="40"/>
        <v>0</v>
      </c>
      <c r="AV34" s="51"/>
      <c r="AW34" s="51">
        <f>6000</f>
        <v>6000</v>
      </c>
      <c r="AX34" s="52">
        <f t="shared" si="41"/>
        <v>6000</v>
      </c>
      <c r="AY34" s="51"/>
      <c r="AZ34" s="51"/>
      <c r="BA34" s="52">
        <f t="shared" si="42"/>
        <v>0</v>
      </c>
      <c r="BB34" s="51"/>
      <c r="BC34" s="51">
        <f>2000+81557</f>
        <v>83557</v>
      </c>
      <c r="BD34" s="52">
        <f t="shared" si="43"/>
        <v>83557</v>
      </c>
      <c r="BE34" s="51"/>
      <c r="BF34" s="51"/>
      <c r="BG34" s="52">
        <f t="shared" si="44"/>
        <v>0</v>
      </c>
      <c r="BH34" s="51"/>
      <c r="BI34" s="51">
        <f>25000+27600+20030+30500</f>
        <v>103130</v>
      </c>
      <c r="BJ34" s="52">
        <f t="shared" si="45"/>
        <v>103130</v>
      </c>
      <c r="BK34" s="51"/>
      <c r="BL34" s="51"/>
      <c r="BM34" s="52">
        <f t="shared" si="46"/>
        <v>0</v>
      </c>
      <c r="BN34" s="62">
        <v>15616</v>
      </c>
      <c r="BO34" s="51">
        <f>30500+30500+29534+11535+30500+16000</f>
        <v>148569</v>
      </c>
      <c r="BP34" s="52">
        <f t="shared" si="47"/>
        <v>164185</v>
      </c>
      <c r="BQ34" s="51"/>
      <c r="BR34" s="51"/>
      <c r="BS34" s="52">
        <f t="shared" si="48"/>
        <v>0</v>
      </c>
      <c r="BT34" s="62">
        <v>10223.5</v>
      </c>
      <c r="BU34" s="51">
        <f>28400+32349+13378+19700</f>
        <v>93827</v>
      </c>
      <c r="BV34" s="52">
        <f t="shared" si="49"/>
        <v>104050.5</v>
      </c>
      <c r="BW34" s="36">
        <f t="shared" si="23"/>
        <v>0</v>
      </c>
      <c r="BX34" s="36">
        <f t="shared" si="23"/>
        <v>0</v>
      </c>
      <c r="BY34" s="36">
        <f t="shared" si="24"/>
        <v>0</v>
      </c>
      <c r="BZ34" s="36">
        <f t="shared" si="25"/>
        <v>25839.5</v>
      </c>
      <c r="CA34" s="36">
        <f t="shared" si="25"/>
        <v>435083</v>
      </c>
      <c r="CB34" s="36">
        <f t="shared" si="26"/>
        <v>460922.5</v>
      </c>
    </row>
    <row r="35" spans="1:80" ht="16.5" customHeight="1" outlineLevel="1" x14ac:dyDescent="0.2">
      <c r="A35" s="61">
        <v>123</v>
      </c>
      <c r="B35" s="49" t="s">
        <v>50</v>
      </c>
      <c r="C35" s="51"/>
      <c r="D35" s="51"/>
      <c r="E35" s="52">
        <f t="shared" si="22"/>
        <v>0</v>
      </c>
      <c r="F35" s="51"/>
      <c r="G35" s="51"/>
      <c r="H35" s="52">
        <f t="shared" si="28"/>
        <v>0</v>
      </c>
      <c r="I35" s="51"/>
      <c r="J35" s="51"/>
      <c r="K35" s="52">
        <f t="shared" si="29"/>
        <v>0</v>
      </c>
      <c r="L35" s="51"/>
      <c r="M35" s="51"/>
      <c r="N35" s="52"/>
      <c r="O35" s="51"/>
      <c r="P35" s="51"/>
      <c r="Q35" s="52">
        <f t="shared" si="30"/>
        <v>0</v>
      </c>
      <c r="R35" s="51"/>
      <c r="S35" s="51"/>
      <c r="T35" s="52">
        <f t="shared" si="31"/>
        <v>0</v>
      </c>
      <c r="U35" s="51"/>
      <c r="V35" s="51"/>
      <c r="W35" s="52">
        <f t="shared" si="32"/>
        <v>0</v>
      </c>
      <c r="X35" s="51"/>
      <c r="Y35" s="51"/>
      <c r="Z35" s="52">
        <f t="shared" si="33"/>
        <v>0</v>
      </c>
      <c r="AA35" s="51"/>
      <c r="AB35" s="51"/>
      <c r="AC35" s="52">
        <f t="shared" si="34"/>
        <v>0</v>
      </c>
      <c r="AD35" s="51"/>
      <c r="AE35" s="51"/>
      <c r="AF35" s="52">
        <f t="shared" si="35"/>
        <v>0</v>
      </c>
      <c r="AG35" s="51"/>
      <c r="AH35" s="51"/>
      <c r="AI35" s="52">
        <f t="shared" si="36"/>
        <v>0</v>
      </c>
      <c r="AJ35" s="51"/>
      <c r="AK35" s="51"/>
      <c r="AL35" s="52">
        <f t="shared" si="37"/>
        <v>0</v>
      </c>
      <c r="AM35" s="51"/>
      <c r="AN35" s="51"/>
      <c r="AO35" s="52">
        <f t="shared" si="38"/>
        <v>0</v>
      </c>
      <c r="AP35" s="51"/>
      <c r="AQ35" s="51"/>
      <c r="AR35" s="52">
        <f t="shared" si="39"/>
        <v>0</v>
      </c>
      <c r="AS35" s="51"/>
      <c r="AT35" s="51"/>
      <c r="AU35" s="52">
        <f t="shared" si="40"/>
        <v>0</v>
      </c>
      <c r="AV35" s="51"/>
      <c r="AW35" s="51"/>
      <c r="AX35" s="52">
        <f t="shared" si="41"/>
        <v>0</v>
      </c>
      <c r="AY35" s="51"/>
      <c r="AZ35" s="51"/>
      <c r="BA35" s="52">
        <f t="shared" si="42"/>
        <v>0</v>
      </c>
      <c r="BB35" s="51"/>
      <c r="BC35" s="51"/>
      <c r="BD35" s="52">
        <f t="shared" si="43"/>
        <v>0</v>
      </c>
      <c r="BE35" s="51"/>
      <c r="BF35" s="51"/>
      <c r="BG35" s="52">
        <f t="shared" si="44"/>
        <v>0</v>
      </c>
      <c r="BH35" s="51"/>
      <c r="BI35" s="51"/>
      <c r="BJ35" s="52">
        <f t="shared" si="45"/>
        <v>0</v>
      </c>
      <c r="BK35" s="51"/>
      <c r="BL35" s="51"/>
      <c r="BM35" s="52">
        <f t="shared" si="46"/>
        <v>0</v>
      </c>
      <c r="BN35" s="62">
        <v>8053.53</v>
      </c>
      <c r="BO35" s="51"/>
      <c r="BP35" s="52">
        <f t="shared" si="47"/>
        <v>8053.53</v>
      </c>
      <c r="BQ35" s="51"/>
      <c r="BR35" s="51"/>
      <c r="BS35" s="52">
        <f t="shared" si="48"/>
        <v>0</v>
      </c>
      <c r="BT35" s="62">
        <v>6519.5</v>
      </c>
      <c r="BU35" s="51"/>
      <c r="BV35" s="52">
        <f t="shared" si="49"/>
        <v>6519.5</v>
      </c>
      <c r="BW35" s="36">
        <f t="shared" si="23"/>
        <v>0</v>
      </c>
      <c r="BX35" s="36">
        <f t="shared" si="23"/>
        <v>0</v>
      </c>
      <c r="BY35" s="36">
        <f t="shared" si="24"/>
        <v>0</v>
      </c>
      <c r="BZ35" s="36">
        <f t="shared" si="25"/>
        <v>14573.029999999999</v>
      </c>
      <c r="CA35" s="36">
        <f t="shared" si="25"/>
        <v>0</v>
      </c>
      <c r="CB35" s="36">
        <f t="shared" si="26"/>
        <v>14573.029999999999</v>
      </c>
    </row>
    <row r="36" spans="1:80" outlineLevel="1" x14ac:dyDescent="0.2">
      <c r="A36" s="33">
        <v>124</v>
      </c>
      <c r="B36" s="49" t="s">
        <v>51</v>
      </c>
      <c r="C36" s="51"/>
      <c r="D36" s="51"/>
      <c r="E36" s="52">
        <f t="shared" si="22"/>
        <v>0</v>
      </c>
      <c r="F36" s="51"/>
      <c r="G36" s="51"/>
      <c r="H36" s="52">
        <f t="shared" si="28"/>
        <v>0</v>
      </c>
      <c r="I36" s="51"/>
      <c r="J36" s="51"/>
      <c r="K36" s="52">
        <f t="shared" si="29"/>
        <v>0</v>
      </c>
      <c r="L36" s="51"/>
      <c r="M36" s="51"/>
      <c r="N36" s="52">
        <f t="shared" si="50"/>
        <v>0</v>
      </c>
      <c r="O36" s="51"/>
      <c r="P36" s="51"/>
      <c r="Q36" s="52">
        <f t="shared" si="30"/>
        <v>0</v>
      </c>
      <c r="R36" s="51"/>
      <c r="S36" s="51"/>
      <c r="T36" s="52">
        <f t="shared" si="31"/>
        <v>0</v>
      </c>
      <c r="U36" s="51"/>
      <c r="V36" s="51"/>
      <c r="W36" s="52">
        <f t="shared" si="32"/>
        <v>0</v>
      </c>
      <c r="X36" s="51"/>
      <c r="Y36" s="51"/>
      <c r="Z36" s="52">
        <f t="shared" si="33"/>
        <v>0</v>
      </c>
      <c r="AA36" s="51"/>
      <c r="AB36" s="51"/>
      <c r="AC36" s="52">
        <f t="shared" si="34"/>
        <v>0</v>
      </c>
      <c r="AD36" s="51"/>
      <c r="AE36" s="51"/>
      <c r="AF36" s="52">
        <f t="shared" si="35"/>
        <v>0</v>
      </c>
      <c r="AG36" s="51"/>
      <c r="AH36" s="51"/>
      <c r="AI36" s="52">
        <f t="shared" si="36"/>
        <v>0</v>
      </c>
      <c r="AJ36" s="51"/>
      <c r="AK36" s="51"/>
      <c r="AL36" s="52">
        <f t="shared" si="37"/>
        <v>0</v>
      </c>
      <c r="AM36" s="51"/>
      <c r="AN36" s="51"/>
      <c r="AO36" s="52">
        <f t="shared" si="38"/>
        <v>0</v>
      </c>
      <c r="AP36" s="51"/>
      <c r="AQ36" s="51"/>
      <c r="AR36" s="52">
        <f t="shared" si="39"/>
        <v>0</v>
      </c>
      <c r="AS36" s="51"/>
      <c r="AT36" s="51"/>
      <c r="AU36" s="52">
        <f t="shared" si="40"/>
        <v>0</v>
      </c>
      <c r="AV36" s="51"/>
      <c r="AW36" s="51"/>
      <c r="AX36" s="52">
        <f t="shared" si="41"/>
        <v>0</v>
      </c>
      <c r="AY36" s="51"/>
      <c r="AZ36" s="51"/>
      <c r="BA36" s="52">
        <f t="shared" si="42"/>
        <v>0</v>
      </c>
      <c r="BB36" s="51"/>
      <c r="BC36" s="51"/>
      <c r="BD36" s="52">
        <f t="shared" si="43"/>
        <v>0</v>
      </c>
      <c r="BE36" s="51"/>
      <c r="BF36" s="51"/>
      <c r="BG36" s="52">
        <f t="shared" si="44"/>
        <v>0</v>
      </c>
      <c r="BH36" s="51"/>
      <c r="BI36" s="51"/>
      <c r="BJ36" s="52">
        <f t="shared" si="45"/>
        <v>0</v>
      </c>
      <c r="BK36" s="51"/>
      <c r="BL36" s="51"/>
      <c r="BM36" s="52">
        <f t="shared" si="46"/>
        <v>0</v>
      </c>
      <c r="BN36" s="51"/>
      <c r="BO36" s="51"/>
      <c r="BP36" s="52">
        <f t="shared" si="47"/>
        <v>0</v>
      </c>
      <c r="BQ36" s="51"/>
      <c r="BR36" s="51"/>
      <c r="BS36" s="52">
        <f t="shared" si="48"/>
        <v>0</v>
      </c>
      <c r="BT36" s="51"/>
      <c r="BU36" s="51"/>
      <c r="BV36" s="52">
        <f t="shared" si="49"/>
        <v>0</v>
      </c>
      <c r="BW36" s="36">
        <f t="shared" si="23"/>
        <v>0</v>
      </c>
      <c r="BX36" s="36">
        <f t="shared" si="23"/>
        <v>0</v>
      </c>
      <c r="BY36" s="36">
        <f t="shared" si="24"/>
        <v>0</v>
      </c>
      <c r="BZ36" s="36">
        <f t="shared" si="25"/>
        <v>0</v>
      </c>
      <c r="CA36" s="36">
        <f t="shared" si="25"/>
        <v>0</v>
      </c>
      <c r="CB36" s="36">
        <f t="shared" si="26"/>
        <v>0</v>
      </c>
    </row>
    <row r="37" spans="1:80" s="44" customFormat="1" ht="12" outlineLevel="1" x14ac:dyDescent="0.2">
      <c r="A37" s="38"/>
      <c r="B37" s="39" t="s">
        <v>52</v>
      </c>
      <c r="C37" s="63"/>
      <c r="D37" s="63"/>
      <c r="E37" s="60">
        <f t="shared" si="22"/>
        <v>0</v>
      </c>
      <c r="F37" s="63"/>
      <c r="G37" s="63"/>
      <c r="H37" s="60">
        <f t="shared" si="28"/>
        <v>0</v>
      </c>
      <c r="I37" s="63"/>
      <c r="J37" s="63"/>
      <c r="K37" s="60">
        <f t="shared" si="29"/>
        <v>0</v>
      </c>
      <c r="L37" s="63"/>
      <c r="M37" s="63"/>
      <c r="N37" s="60">
        <f t="shared" si="50"/>
        <v>0</v>
      </c>
      <c r="O37" s="63"/>
      <c r="P37" s="63"/>
      <c r="Q37" s="60">
        <f t="shared" si="30"/>
        <v>0</v>
      </c>
      <c r="R37" s="63"/>
      <c r="S37" s="63"/>
      <c r="T37" s="60">
        <f t="shared" si="31"/>
        <v>0</v>
      </c>
      <c r="U37" s="63"/>
      <c r="V37" s="63"/>
      <c r="W37" s="60">
        <f t="shared" si="32"/>
        <v>0</v>
      </c>
      <c r="X37" s="63"/>
      <c r="Y37" s="63"/>
      <c r="Z37" s="60">
        <f t="shared" si="33"/>
        <v>0</v>
      </c>
      <c r="AA37" s="63"/>
      <c r="AB37" s="63"/>
      <c r="AC37" s="60">
        <f t="shared" si="34"/>
        <v>0</v>
      </c>
      <c r="AD37" s="63"/>
      <c r="AE37" s="63"/>
      <c r="AF37" s="60">
        <f t="shared" si="35"/>
        <v>0</v>
      </c>
      <c r="AG37" s="63"/>
      <c r="AH37" s="63"/>
      <c r="AI37" s="60">
        <f t="shared" si="36"/>
        <v>0</v>
      </c>
      <c r="AJ37" s="63"/>
      <c r="AK37" s="63"/>
      <c r="AL37" s="60">
        <f t="shared" si="37"/>
        <v>0</v>
      </c>
      <c r="AM37" s="63"/>
      <c r="AN37" s="63"/>
      <c r="AO37" s="60">
        <f t="shared" si="38"/>
        <v>0</v>
      </c>
      <c r="AP37" s="63"/>
      <c r="AQ37" s="63"/>
      <c r="AR37" s="60">
        <f t="shared" si="39"/>
        <v>0</v>
      </c>
      <c r="AS37" s="63"/>
      <c r="AT37" s="63"/>
      <c r="AU37" s="60">
        <f t="shared" si="40"/>
        <v>0</v>
      </c>
      <c r="AV37" s="63"/>
      <c r="AW37" s="63"/>
      <c r="AX37" s="60">
        <f t="shared" si="41"/>
        <v>0</v>
      </c>
      <c r="AY37" s="63"/>
      <c r="AZ37" s="63"/>
      <c r="BA37" s="60">
        <f t="shared" si="42"/>
        <v>0</v>
      </c>
      <c r="BB37" s="63"/>
      <c r="BC37" s="63"/>
      <c r="BD37" s="60">
        <f t="shared" si="43"/>
        <v>0</v>
      </c>
      <c r="BE37" s="63"/>
      <c r="BF37" s="63"/>
      <c r="BG37" s="60">
        <f t="shared" si="44"/>
        <v>0</v>
      </c>
      <c r="BH37" s="63"/>
      <c r="BI37" s="63"/>
      <c r="BJ37" s="60">
        <f t="shared" si="45"/>
        <v>0</v>
      </c>
      <c r="BK37" s="63"/>
      <c r="BL37" s="63"/>
      <c r="BM37" s="60">
        <f t="shared" si="46"/>
        <v>0</v>
      </c>
      <c r="BN37" s="63"/>
      <c r="BO37" s="63"/>
      <c r="BP37" s="60">
        <f t="shared" si="47"/>
        <v>0</v>
      </c>
      <c r="BQ37" s="63"/>
      <c r="BR37" s="63"/>
      <c r="BS37" s="60">
        <f t="shared" si="48"/>
        <v>0</v>
      </c>
      <c r="BT37" s="63"/>
      <c r="BU37" s="63"/>
      <c r="BV37" s="60">
        <f t="shared" si="49"/>
        <v>0</v>
      </c>
      <c r="BW37" s="43">
        <f t="shared" si="23"/>
        <v>0</v>
      </c>
      <c r="BX37" s="43">
        <f t="shared" si="23"/>
        <v>0</v>
      </c>
      <c r="BY37" s="43">
        <f t="shared" si="24"/>
        <v>0</v>
      </c>
      <c r="BZ37" s="43">
        <f t="shared" si="25"/>
        <v>0</v>
      </c>
      <c r="CA37" s="43">
        <f t="shared" si="25"/>
        <v>0</v>
      </c>
      <c r="CB37" s="43">
        <f t="shared" si="26"/>
        <v>0</v>
      </c>
    </row>
    <row r="38" spans="1:80" s="5" customFormat="1" outlineLevel="1" x14ac:dyDescent="0.2">
      <c r="A38" s="33">
        <v>125</v>
      </c>
      <c r="B38" s="64" t="s">
        <v>53</v>
      </c>
      <c r="C38" s="65">
        <f>C39+C40+C41+C42</f>
        <v>0</v>
      </c>
      <c r="D38" s="65">
        <f>D39+D40+D41+D42</f>
        <v>0</v>
      </c>
      <c r="E38" s="52">
        <f t="shared" si="22"/>
        <v>0</v>
      </c>
      <c r="F38" s="65">
        <f>F39+F40+F41+F42</f>
        <v>0</v>
      </c>
      <c r="G38" s="65">
        <f>G39+G40+G41+G42</f>
        <v>0</v>
      </c>
      <c r="H38" s="52">
        <f t="shared" si="28"/>
        <v>0</v>
      </c>
      <c r="I38" s="65">
        <f>I39+I40+I41+I42</f>
        <v>0</v>
      </c>
      <c r="J38" s="65">
        <f>J39+J40+J41+J42</f>
        <v>0</v>
      </c>
      <c r="K38" s="52">
        <f t="shared" si="29"/>
        <v>0</v>
      </c>
      <c r="L38" s="65">
        <f>L39+L40+L41+L42</f>
        <v>0</v>
      </c>
      <c r="M38" s="65">
        <f>M39+M40+M41+M42</f>
        <v>0</v>
      </c>
      <c r="N38" s="52">
        <f t="shared" si="50"/>
        <v>0</v>
      </c>
      <c r="O38" s="65">
        <f>O39+O40+O41+O42</f>
        <v>0</v>
      </c>
      <c r="P38" s="65">
        <f>P39+P40+P41+P42</f>
        <v>0</v>
      </c>
      <c r="Q38" s="52">
        <f t="shared" si="30"/>
        <v>0</v>
      </c>
      <c r="R38" s="65">
        <f>R39+R40+R41+R42</f>
        <v>0</v>
      </c>
      <c r="S38" s="65">
        <f>S39+S40+S41+S42</f>
        <v>0</v>
      </c>
      <c r="T38" s="52">
        <f t="shared" si="31"/>
        <v>0</v>
      </c>
      <c r="U38" s="65">
        <f>U39+U40+U41+U42</f>
        <v>0</v>
      </c>
      <c r="V38" s="65">
        <f>V39+V40+V41+V42</f>
        <v>0</v>
      </c>
      <c r="W38" s="52">
        <f t="shared" si="32"/>
        <v>0</v>
      </c>
      <c r="X38" s="65">
        <f>X39+X40+X41+X42</f>
        <v>0</v>
      </c>
      <c r="Y38" s="65">
        <f>Y39+Y40+Y41+Y42</f>
        <v>0</v>
      </c>
      <c r="Z38" s="52">
        <f t="shared" si="33"/>
        <v>0</v>
      </c>
      <c r="AA38" s="65">
        <f>AA39+AA40+AA41+AA42</f>
        <v>0</v>
      </c>
      <c r="AB38" s="65">
        <f>AB39+AB40+AB41+AB42</f>
        <v>0</v>
      </c>
      <c r="AC38" s="52">
        <f t="shared" si="34"/>
        <v>0</v>
      </c>
      <c r="AD38" s="65">
        <f>AD39+AD40+AD41+AD42</f>
        <v>0</v>
      </c>
      <c r="AE38" s="65">
        <f>AE39+AE40+AE41+AE42</f>
        <v>0</v>
      </c>
      <c r="AF38" s="52">
        <f t="shared" si="35"/>
        <v>0</v>
      </c>
      <c r="AG38" s="65">
        <f>AG39+AG40+AG41+AG42</f>
        <v>0</v>
      </c>
      <c r="AH38" s="65">
        <f>AH39+AH40+AH41+AH42</f>
        <v>0</v>
      </c>
      <c r="AI38" s="52">
        <f t="shared" si="36"/>
        <v>0</v>
      </c>
      <c r="AJ38" s="65">
        <f>AJ39+AJ40+AJ41+AJ42</f>
        <v>0</v>
      </c>
      <c r="AK38" s="65">
        <f>AK39+AK40+AK41+AK42</f>
        <v>0</v>
      </c>
      <c r="AL38" s="52">
        <f t="shared" si="37"/>
        <v>0</v>
      </c>
      <c r="AM38" s="65">
        <f>AM39+AM40+AM41+AM42</f>
        <v>0</v>
      </c>
      <c r="AN38" s="65">
        <f>AN39+AN40+AN41+AN42</f>
        <v>0</v>
      </c>
      <c r="AO38" s="52">
        <f t="shared" si="38"/>
        <v>0</v>
      </c>
      <c r="AP38" s="65">
        <f>AP39+AP40+AP41+AP42</f>
        <v>0</v>
      </c>
      <c r="AQ38" s="65">
        <f>AQ39+AQ40+AQ41+AQ42</f>
        <v>0</v>
      </c>
      <c r="AR38" s="52">
        <f t="shared" si="39"/>
        <v>0</v>
      </c>
      <c r="AS38" s="65">
        <f>AS39+AS40+AS41+AS42</f>
        <v>0</v>
      </c>
      <c r="AT38" s="65">
        <f>AT39+AT40+AT41+AT42</f>
        <v>0</v>
      </c>
      <c r="AU38" s="52">
        <f t="shared" si="40"/>
        <v>0</v>
      </c>
      <c r="AV38" s="65">
        <f>AV39+AV40+AV41+AV42</f>
        <v>0</v>
      </c>
      <c r="AW38" s="65">
        <f>AW39+AW40+AW41+AW42</f>
        <v>0</v>
      </c>
      <c r="AX38" s="52">
        <f t="shared" si="41"/>
        <v>0</v>
      </c>
      <c r="AY38" s="65">
        <f>AY39+AY40+AY41+AY42</f>
        <v>0</v>
      </c>
      <c r="AZ38" s="65">
        <f>AZ39+AZ40+AZ41+AZ42</f>
        <v>0</v>
      </c>
      <c r="BA38" s="52">
        <f t="shared" si="42"/>
        <v>0</v>
      </c>
      <c r="BB38" s="65">
        <f>BB39+BB40+BB41+BB42</f>
        <v>0</v>
      </c>
      <c r="BC38" s="65">
        <f>BC39+BC40+BC41+BC42</f>
        <v>0</v>
      </c>
      <c r="BD38" s="52">
        <f t="shared" si="43"/>
        <v>0</v>
      </c>
      <c r="BE38" s="65">
        <f>BE39+BE40+BE41+BE42</f>
        <v>0</v>
      </c>
      <c r="BF38" s="65">
        <f>BF39+BF40+BF41+BF42</f>
        <v>0</v>
      </c>
      <c r="BG38" s="52">
        <f t="shared" si="44"/>
        <v>0</v>
      </c>
      <c r="BH38" s="65">
        <f>BH39+BH40+BH41+BH42</f>
        <v>0</v>
      </c>
      <c r="BI38" s="65">
        <f>BI39+BI40+BI41+BI42</f>
        <v>0</v>
      </c>
      <c r="BJ38" s="52">
        <f t="shared" si="45"/>
        <v>0</v>
      </c>
      <c r="BK38" s="65">
        <f>BK39+BK40+BK41+BK42</f>
        <v>0</v>
      </c>
      <c r="BL38" s="65">
        <f>BL39+BL40+BL41+BL42</f>
        <v>0</v>
      </c>
      <c r="BM38" s="52">
        <f t="shared" si="46"/>
        <v>0</v>
      </c>
      <c r="BN38" s="65">
        <f>BN39+BN40+BN41+BN42</f>
        <v>0</v>
      </c>
      <c r="BO38" s="65">
        <f>BO39+BO40+BO41+BO42</f>
        <v>0</v>
      </c>
      <c r="BP38" s="52">
        <f t="shared" si="47"/>
        <v>0</v>
      </c>
      <c r="BQ38" s="65">
        <f>BQ39+BQ40+BQ41+BQ42</f>
        <v>0</v>
      </c>
      <c r="BR38" s="65">
        <f>BR39+BR40+BR41+BR42</f>
        <v>0</v>
      </c>
      <c r="BS38" s="52">
        <f t="shared" si="48"/>
        <v>0</v>
      </c>
      <c r="BT38" s="65">
        <f>BT39+BT40+BT41+BT42</f>
        <v>0</v>
      </c>
      <c r="BU38" s="65">
        <f>BU39+BU40+BU41+BU42</f>
        <v>0</v>
      </c>
      <c r="BV38" s="52">
        <f t="shared" si="49"/>
        <v>0</v>
      </c>
      <c r="BW38" s="36">
        <f>C38+I38+O38+U38+AA38+AG38+AM38+AS38+AY38+BE38+BK38+BQ38</f>
        <v>0</v>
      </c>
      <c r="BX38" s="36">
        <f>D38+J38+P38+V38+AB38+AH38+AN38+AT38+AZ38+BF38+BL38+BR38</f>
        <v>0</v>
      </c>
      <c r="BY38" s="36">
        <f t="shared" si="24"/>
        <v>0</v>
      </c>
      <c r="BZ38" s="36">
        <f>F38+L38+R38+X38+AD38+AJ38+AP38+AV38+BB38+BH38+BN38+BT38</f>
        <v>0</v>
      </c>
      <c r="CA38" s="36">
        <f>G38+M38+S38+Y38+AE38+AK38+AQ38+AW38+BC38+BI38+BO38+BU38</f>
        <v>0</v>
      </c>
      <c r="CB38" s="36">
        <f t="shared" si="26"/>
        <v>0</v>
      </c>
    </row>
    <row r="39" spans="1:80" s="44" customFormat="1" ht="12" outlineLevel="2" x14ac:dyDescent="0.2">
      <c r="A39" s="38" t="s">
        <v>54</v>
      </c>
      <c r="B39" s="66" t="s">
        <v>55</v>
      </c>
      <c r="C39" s="67"/>
      <c r="D39" s="67"/>
      <c r="E39" s="60">
        <f t="shared" si="22"/>
        <v>0</v>
      </c>
      <c r="F39" s="67"/>
      <c r="G39" s="67"/>
      <c r="H39" s="60">
        <f t="shared" si="28"/>
        <v>0</v>
      </c>
      <c r="I39" s="67"/>
      <c r="J39" s="67"/>
      <c r="K39" s="60">
        <f t="shared" si="29"/>
        <v>0</v>
      </c>
      <c r="L39" s="67"/>
      <c r="M39" s="67"/>
      <c r="N39" s="60">
        <f t="shared" si="50"/>
        <v>0</v>
      </c>
      <c r="O39" s="67"/>
      <c r="P39" s="67"/>
      <c r="Q39" s="60">
        <f t="shared" si="30"/>
        <v>0</v>
      </c>
      <c r="R39" s="67"/>
      <c r="S39" s="67"/>
      <c r="T39" s="60">
        <f t="shared" si="31"/>
        <v>0</v>
      </c>
      <c r="U39" s="67"/>
      <c r="V39" s="67"/>
      <c r="W39" s="60">
        <f t="shared" si="32"/>
        <v>0</v>
      </c>
      <c r="X39" s="67"/>
      <c r="Y39" s="67"/>
      <c r="Z39" s="60">
        <f t="shared" si="33"/>
        <v>0</v>
      </c>
      <c r="AA39" s="67"/>
      <c r="AB39" s="67"/>
      <c r="AC39" s="60">
        <f t="shared" si="34"/>
        <v>0</v>
      </c>
      <c r="AD39" s="67"/>
      <c r="AE39" s="67"/>
      <c r="AF39" s="60">
        <f t="shared" si="35"/>
        <v>0</v>
      </c>
      <c r="AG39" s="67"/>
      <c r="AH39" s="67"/>
      <c r="AI39" s="60">
        <f t="shared" si="36"/>
        <v>0</v>
      </c>
      <c r="AJ39" s="67"/>
      <c r="AK39" s="67"/>
      <c r="AL39" s="60">
        <f t="shared" si="37"/>
        <v>0</v>
      </c>
      <c r="AM39" s="67"/>
      <c r="AN39" s="67"/>
      <c r="AO39" s="60">
        <f t="shared" si="38"/>
        <v>0</v>
      </c>
      <c r="AP39" s="67"/>
      <c r="AQ39" s="67"/>
      <c r="AR39" s="60">
        <f t="shared" si="39"/>
        <v>0</v>
      </c>
      <c r="AS39" s="67"/>
      <c r="AT39" s="67"/>
      <c r="AU39" s="60">
        <f t="shared" si="40"/>
        <v>0</v>
      </c>
      <c r="AV39" s="67"/>
      <c r="AW39" s="67"/>
      <c r="AX39" s="60">
        <f t="shared" si="41"/>
        <v>0</v>
      </c>
      <c r="AY39" s="67"/>
      <c r="AZ39" s="67"/>
      <c r="BA39" s="60">
        <f t="shared" si="42"/>
        <v>0</v>
      </c>
      <c r="BB39" s="67"/>
      <c r="BC39" s="67"/>
      <c r="BD39" s="60">
        <f t="shared" si="43"/>
        <v>0</v>
      </c>
      <c r="BE39" s="67"/>
      <c r="BF39" s="67"/>
      <c r="BG39" s="60">
        <f t="shared" si="44"/>
        <v>0</v>
      </c>
      <c r="BH39" s="67"/>
      <c r="BI39" s="67"/>
      <c r="BJ39" s="60">
        <f t="shared" si="45"/>
        <v>0</v>
      </c>
      <c r="BK39" s="67"/>
      <c r="BL39" s="67"/>
      <c r="BM39" s="60">
        <f t="shared" si="46"/>
        <v>0</v>
      </c>
      <c r="BN39" s="67"/>
      <c r="BO39" s="67"/>
      <c r="BP39" s="60">
        <f t="shared" si="47"/>
        <v>0</v>
      </c>
      <c r="BQ39" s="67"/>
      <c r="BR39" s="67"/>
      <c r="BS39" s="60">
        <f t="shared" si="48"/>
        <v>0</v>
      </c>
      <c r="BT39" s="67"/>
      <c r="BU39" s="67"/>
      <c r="BV39" s="60">
        <f t="shared" si="49"/>
        <v>0</v>
      </c>
      <c r="BW39" s="43">
        <f>C39+I39+O39+U39+AA39+AG39+AM39+AS39+AY39+BE39+BK39+BQ39</f>
        <v>0</v>
      </c>
      <c r="BX39" s="43">
        <f t="shared" si="23"/>
        <v>0</v>
      </c>
      <c r="BY39" s="43">
        <f t="shared" si="24"/>
        <v>0</v>
      </c>
      <c r="BZ39" s="43">
        <f t="shared" si="25"/>
        <v>0</v>
      </c>
      <c r="CA39" s="43">
        <f t="shared" si="25"/>
        <v>0</v>
      </c>
      <c r="CB39" s="43">
        <f t="shared" si="26"/>
        <v>0</v>
      </c>
    </row>
    <row r="40" spans="1:80" s="44" customFormat="1" ht="24" outlineLevel="2" x14ac:dyDescent="0.2">
      <c r="A40" s="38" t="s">
        <v>56</v>
      </c>
      <c r="B40" s="66" t="s">
        <v>57</v>
      </c>
      <c r="C40" s="67"/>
      <c r="D40" s="67"/>
      <c r="E40" s="60">
        <f t="shared" si="22"/>
        <v>0</v>
      </c>
      <c r="F40" s="67"/>
      <c r="G40" s="67"/>
      <c r="H40" s="60">
        <f t="shared" si="28"/>
        <v>0</v>
      </c>
      <c r="I40" s="67"/>
      <c r="J40" s="67"/>
      <c r="K40" s="60">
        <f t="shared" si="29"/>
        <v>0</v>
      </c>
      <c r="L40" s="67"/>
      <c r="M40" s="67"/>
      <c r="N40" s="60">
        <f t="shared" si="50"/>
        <v>0</v>
      </c>
      <c r="O40" s="67"/>
      <c r="P40" s="67"/>
      <c r="Q40" s="60">
        <f t="shared" si="30"/>
        <v>0</v>
      </c>
      <c r="R40" s="67"/>
      <c r="S40" s="67"/>
      <c r="T40" s="60">
        <f t="shared" si="31"/>
        <v>0</v>
      </c>
      <c r="U40" s="67"/>
      <c r="V40" s="67"/>
      <c r="W40" s="60">
        <f t="shared" si="32"/>
        <v>0</v>
      </c>
      <c r="X40" s="67"/>
      <c r="Y40" s="67"/>
      <c r="Z40" s="60">
        <f t="shared" si="33"/>
        <v>0</v>
      </c>
      <c r="AA40" s="67"/>
      <c r="AB40" s="67"/>
      <c r="AC40" s="60">
        <f t="shared" si="34"/>
        <v>0</v>
      </c>
      <c r="AD40" s="67"/>
      <c r="AE40" s="67"/>
      <c r="AF40" s="60">
        <f t="shared" si="35"/>
        <v>0</v>
      </c>
      <c r="AG40" s="67"/>
      <c r="AH40" s="67"/>
      <c r="AI40" s="60">
        <f t="shared" si="36"/>
        <v>0</v>
      </c>
      <c r="AJ40" s="67"/>
      <c r="AK40" s="67"/>
      <c r="AL40" s="60">
        <f t="shared" si="37"/>
        <v>0</v>
      </c>
      <c r="AM40" s="67"/>
      <c r="AN40" s="67"/>
      <c r="AO40" s="60">
        <f t="shared" si="38"/>
        <v>0</v>
      </c>
      <c r="AP40" s="67"/>
      <c r="AQ40" s="67"/>
      <c r="AR40" s="60">
        <f t="shared" si="39"/>
        <v>0</v>
      </c>
      <c r="AS40" s="67"/>
      <c r="AT40" s="67"/>
      <c r="AU40" s="60">
        <f t="shared" si="40"/>
        <v>0</v>
      </c>
      <c r="AV40" s="67"/>
      <c r="AW40" s="67"/>
      <c r="AX40" s="60">
        <f t="shared" si="41"/>
        <v>0</v>
      </c>
      <c r="AY40" s="67"/>
      <c r="AZ40" s="67"/>
      <c r="BA40" s="60">
        <f t="shared" si="42"/>
        <v>0</v>
      </c>
      <c r="BB40" s="67"/>
      <c r="BC40" s="67"/>
      <c r="BD40" s="60">
        <f t="shared" si="43"/>
        <v>0</v>
      </c>
      <c r="BE40" s="67"/>
      <c r="BF40" s="67"/>
      <c r="BG40" s="60">
        <f t="shared" si="44"/>
        <v>0</v>
      </c>
      <c r="BH40" s="67"/>
      <c r="BI40" s="67"/>
      <c r="BJ40" s="60">
        <f t="shared" si="45"/>
        <v>0</v>
      </c>
      <c r="BK40" s="67"/>
      <c r="BL40" s="67"/>
      <c r="BM40" s="60">
        <f t="shared" si="46"/>
        <v>0</v>
      </c>
      <c r="BN40" s="67"/>
      <c r="BO40" s="67"/>
      <c r="BP40" s="60">
        <f t="shared" si="47"/>
        <v>0</v>
      </c>
      <c r="BQ40" s="67"/>
      <c r="BR40" s="67"/>
      <c r="BS40" s="60">
        <f t="shared" si="48"/>
        <v>0</v>
      </c>
      <c r="BT40" s="67"/>
      <c r="BU40" s="67"/>
      <c r="BV40" s="60">
        <f t="shared" si="49"/>
        <v>0</v>
      </c>
      <c r="BW40" s="43">
        <f t="shared" si="23"/>
        <v>0</v>
      </c>
      <c r="BX40" s="43">
        <f t="shared" si="23"/>
        <v>0</v>
      </c>
      <c r="BY40" s="43">
        <f t="shared" si="24"/>
        <v>0</v>
      </c>
      <c r="BZ40" s="43">
        <f t="shared" si="25"/>
        <v>0</v>
      </c>
      <c r="CA40" s="43">
        <f t="shared" si="25"/>
        <v>0</v>
      </c>
      <c r="CB40" s="43">
        <f t="shared" si="26"/>
        <v>0</v>
      </c>
    </row>
    <row r="41" spans="1:80" s="44" customFormat="1" ht="12" outlineLevel="2" x14ac:dyDescent="0.2">
      <c r="A41" s="38" t="s">
        <v>58</v>
      </c>
      <c r="B41" s="66" t="s">
        <v>59</v>
      </c>
      <c r="C41" s="67"/>
      <c r="D41" s="67"/>
      <c r="E41" s="60">
        <f t="shared" si="22"/>
        <v>0</v>
      </c>
      <c r="F41" s="67"/>
      <c r="G41" s="67"/>
      <c r="H41" s="60">
        <f t="shared" si="28"/>
        <v>0</v>
      </c>
      <c r="I41" s="67"/>
      <c r="J41" s="67"/>
      <c r="K41" s="60">
        <f t="shared" si="29"/>
        <v>0</v>
      </c>
      <c r="L41" s="67"/>
      <c r="M41" s="67"/>
      <c r="N41" s="60">
        <f t="shared" si="50"/>
        <v>0</v>
      </c>
      <c r="O41" s="67"/>
      <c r="P41" s="67"/>
      <c r="Q41" s="60">
        <f t="shared" si="30"/>
        <v>0</v>
      </c>
      <c r="R41" s="67"/>
      <c r="S41" s="67"/>
      <c r="T41" s="60">
        <f t="shared" si="31"/>
        <v>0</v>
      </c>
      <c r="U41" s="67"/>
      <c r="V41" s="67"/>
      <c r="W41" s="60">
        <f t="shared" si="32"/>
        <v>0</v>
      </c>
      <c r="X41" s="67"/>
      <c r="Y41" s="67"/>
      <c r="Z41" s="60">
        <f t="shared" si="33"/>
        <v>0</v>
      </c>
      <c r="AA41" s="67"/>
      <c r="AB41" s="67"/>
      <c r="AC41" s="60">
        <f t="shared" si="34"/>
        <v>0</v>
      </c>
      <c r="AD41" s="67"/>
      <c r="AE41" s="67"/>
      <c r="AF41" s="60">
        <f t="shared" si="35"/>
        <v>0</v>
      </c>
      <c r="AG41" s="67"/>
      <c r="AH41" s="67"/>
      <c r="AI41" s="60">
        <f t="shared" si="36"/>
        <v>0</v>
      </c>
      <c r="AJ41" s="67"/>
      <c r="AK41" s="67"/>
      <c r="AL41" s="60">
        <f t="shared" si="37"/>
        <v>0</v>
      </c>
      <c r="AM41" s="67"/>
      <c r="AN41" s="67"/>
      <c r="AO41" s="60">
        <f t="shared" si="38"/>
        <v>0</v>
      </c>
      <c r="AP41" s="67"/>
      <c r="AQ41" s="67"/>
      <c r="AR41" s="60">
        <f t="shared" si="39"/>
        <v>0</v>
      </c>
      <c r="AS41" s="67"/>
      <c r="AT41" s="67"/>
      <c r="AU41" s="60">
        <f t="shared" si="40"/>
        <v>0</v>
      </c>
      <c r="AV41" s="67"/>
      <c r="AW41" s="67"/>
      <c r="AX41" s="60">
        <f t="shared" si="41"/>
        <v>0</v>
      </c>
      <c r="AY41" s="67"/>
      <c r="AZ41" s="67"/>
      <c r="BA41" s="60">
        <f t="shared" si="42"/>
        <v>0</v>
      </c>
      <c r="BB41" s="67"/>
      <c r="BC41" s="67"/>
      <c r="BD41" s="60">
        <f t="shared" si="43"/>
        <v>0</v>
      </c>
      <c r="BE41" s="67"/>
      <c r="BF41" s="67"/>
      <c r="BG41" s="60">
        <f t="shared" si="44"/>
        <v>0</v>
      </c>
      <c r="BH41" s="67"/>
      <c r="BI41" s="67"/>
      <c r="BJ41" s="60">
        <f t="shared" si="45"/>
        <v>0</v>
      </c>
      <c r="BK41" s="67"/>
      <c r="BL41" s="67"/>
      <c r="BM41" s="60">
        <f t="shared" si="46"/>
        <v>0</v>
      </c>
      <c r="BN41" s="67"/>
      <c r="BO41" s="67"/>
      <c r="BP41" s="60">
        <f t="shared" si="47"/>
        <v>0</v>
      </c>
      <c r="BQ41" s="67"/>
      <c r="BR41" s="67"/>
      <c r="BS41" s="60">
        <f t="shared" si="48"/>
        <v>0</v>
      </c>
      <c r="BT41" s="67"/>
      <c r="BU41" s="67"/>
      <c r="BV41" s="60">
        <f t="shared" si="49"/>
        <v>0</v>
      </c>
      <c r="BW41" s="43">
        <f t="shared" si="23"/>
        <v>0</v>
      </c>
      <c r="BX41" s="43">
        <f t="shared" si="23"/>
        <v>0</v>
      </c>
      <c r="BY41" s="43">
        <f t="shared" si="24"/>
        <v>0</v>
      </c>
      <c r="BZ41" s="43">
        <f t="shared" si="25"/>
        <v>0</v>
      </c>
      <c r="CA41" s="43">
        <f t="shared" si="25"/>
        <v>0</v>
      </c>
      <c r="CB41" s="43">
        <f t="shared" si="26"/>
        <v>0</v>
      </c>
    </row>
    <row r="42" spans="1:80" s="44" customFormat="1" ht="24" outlineLevel="2" x14ac:dyDescent="0.2">
      <c r="A42" s="38" t="s">
        <v>60</v>
      </c>
      <c r="B42" s="66" t="s">
        <v>61</v>
      </c>
      <c r="C42" s="67"/>
      <c r="D42" s="67"/>
      <c r="E42" s="60">
        <f t="shared" si="22"/>
        <v>0</v>
      </c>
      <c r="F42" s="67"/>
      <c r="G42" s="67"/>
      <c r="H42" s="60">
        <f t="shared" si="28"/>
        <v>0</v>
      </c>
      <c r="I42" s="67"/>
      <c r="J42" s="67"/>
      <c r="K42" s="60">
        <f t="shared" si="29"/>
        <v>0</v>
      </c>
      <c r="L42" s="67"/>
      <c r="M42" s="67"/>
      <c r="N42" s="60">
        <f t="shared" si="50"/>
        <v>0</v>
      </c>
      <c r="O42" s="67"/>
      <c r="P42" s="67"/>
      <c r="Q42" s="60">
        <f t="shared" si="30"/>
        <v>0</v>
      </c>
      <c r="R42" s="67"/>
      <c r="S42" s="67"/>
      <c r="T42" s="60">
        <f t="shared" si="31"/>
        <v>0</v>
      </c>
      <c r="U42" s="67"/>
      <c r="V42" s="67"/>
      <c r="W42" s="60">
        <f t="shared" si="32"/>
        <v>0</v>
      </c>
      <c r="X42" s="67"/>
      <c r="Y42" s="67"/>
      <c r="Z42" s="60">
        <f t="shared" si="33"/>
        <v>0</v>
      </c>
      <c r="AA42" s="67"/>
      <c r="AB42" s="67"/>
      <c r="AC42" s="60">
        <f t="shared" si="34"/>
        <v>0</v>
      </c>
      <c r="AD42" s="67"/>
      <c r="AE42" s="67"/>
      <c r="AF42" s="60">
        <f t="shared" si="35"/>
        <v>0</v>
      </c>
      <c r="AG42" s="67"/>
      <c r="AH42" s="67"/>
      <c r="AI42" s="60">
        <f t="shared" si="36"/>
        <v>0</v>
      </c>
      <c r="AJ42" s="67"/>
      <c r="AK42" s="67"/>
      <c r="AL42" s="60">
        <f t="shared" si="37"/>
        <v>0</v>
      </c>
      <c r="AM42" s="67"/>
      <c r="AN42" s="67"/>
      <c r="AO42" s="60">
        <f t="shared" si="38"/>
        <v>0</v>
      </c>
      <c r="AP42" s="67"/>
      <c r="AQ42" s="67"/>
      <c r="AR42" s="60">
        <f t="shared" si="39"/>
        <v>0</v>
      </c>
      <c r="AS42" s="67"/>
      <c r="AT42" s="67"/>
      <c r="AU42" s="60">
        <f t="shared" si="40"/>
        <v>0</v>
      </c>
      <c r="AV42" s="67"/>
      <c r="AW42" s="67"/>
      <c r="AX42" s="60">
        <f t="shared" si="41"/>
        <v>0</v>
      </c>
      <c r="AY42" s="67"/>
      <c r="AZ42" s="67"/>
      <c r="BA42" s="60">
        <f t="shared" si="42"/>
        <v>0</v>
      </c>
      <c r="BB42" s="67"/>
      <c r="BC42" s="67"/>
      <c r="BD42" s="60">
        <f t="shared" si="43"/>
        <v>0</v>
      </c>
      <c r="BE42" s="67"/>
      <c r="BF42" s="67"/>
      <c r="BG42" s="60">
        <f t="shared" si="44"/>
        <v>0</v>
      </c>
      <c r="BH42" s="67"/>
      <c r="BI42" s="67"/>
      <c r="BJ42" s="60">
        <f t="shared" si="45"/>
        <v>0</v>
      </c>
      <c r="BK42" s="67"/>
      <c r="BL42" s="67"/>
      <c r="BM42" s="60">
        <f t="shared" si="46"/>
        <v>0</v>
      </c>
      <c r="BN42" s="67"/>
      <c r="BO42" s="67"/>
      <c r="BP42" s="60">
        <f t="shared" si="47"/>
        <v>0</v>
      </c>
      <c r="BQ42" s="67"/>
      <c r="BR42" s="67"/>
      <c r="BS42" s="60">
        <f t="shared" si="48"/>
        <v>0</v>
      </c>
      <c r="BT42" s="67"/>
      <c r="BU42" s="67"/>
      <c r="BV42" s="60">
        <f t="shared" si="49"/>
        <v>0</v>
      </c>
      <c r="BW42" s="43">
        <f t="shared" si="23"/>
        <v>0</v>
      </c>
      <c r="BX42" s="43">
        <f t="shared" si="23"/>
        <v>0</v>
      </c>
      <c r="BY42" s="43">
        <f t="shared" si="24"/>
        <v>0</v>
      </c>
      <c r="BZ42" s="43">
        <f t="shared" si="25"/>
        <v>0</v>
      </c>
      <c r="CA42" s="43">
        <f t="shared" si="25"/>
        <v>0</v>
      </c>
      <c r="CB42" s="43">
        <f t="shared" si="26"/>
        <v>0</v>
      </c>
    </row>
    <row r="43" spans="1:80" outlineLevel="1" x14ac:dyDescent="0.2">
      <c r="A43" s="33">
        <v>126</v>
      </c>
      <c r="B43" s="64" t="s">
        <v>62</v>
      </c>
      <c r="C43" s="68"/>
      <c r="D43" s="68"/>
      <c r="E43" s="69">
        <f t="shared" si="22"/>
        <v>0</v>
      </c>
      <c r="F43" s="68"/>
      <c r="G43" s="68"/>
      <c r="H43" s="69">
        <f t="shared" si="28"/>
        <v>0</v>
      </c>
      <c r="I43" s="68"/>
      <c r="J43" s="68"/>
      <c r="K43" s="69">
        <f t="shared" si="29"/>
        <v>0</v>
      </c>
      <c r="L43" s="68"/>
      <c r="M43" s="68"/>
      <c r="N43" s="69">
        <f t="shared" si="50"/>
        <v>0</v>
      </c>
      <c r="O43" s="68"/>
      <c r="P43" s="68"/>
      <c r="Q43" s="69">
        <f t="shared" si="30"/>
        <v>0</v>
      </c>
      <c r="R43" s="68"/>
      <c r="S43" s="68"/>
      <c r="T43" s="69">
        <f t="shared" si="31"/>
        <v>0</v>
      </c>
      <c r="U43" s="68"/>
      <c r="V43" s="68"/>
      <c r="W43" s="69">
        <f t="shared" si="32"/>
        <v>0</v>
      </c>
      <c r="X43" s="68"/>
      <c r="Y43" s="68"/>
      <c r="Z43" s="69">
        <f t="shared" si="33"/>
        <v>0</v>
      </c>
      <c r="AA43" s="68"/>
      <c r="AB43" s="68"/>
      <c r="AC43" s="69">
        <f t="shared" si="34"/>
        <v>0</v>
      </c>
      <c r="AD43" s="68"/>
      <c r="AE43" s="68"/>
      <c r="AF43" s="69">
        <f t="shared" si="35"/>
        <v>0</v>
      </c>
      <c r="AG43" s="68"/>
      <c r="AH43" s="68"/>
      <c r="AI43" s="69">
        <f t="shared" si="36"/>
        <v>0</v>
      </c>
      <c r="AJ43" s="68"/>
      <c r="AK43" s="68"/>
      <c r="AL43" s="69">
        <f t="shared" si="37"/>
        <v>0</v>
      </c>
      <c r="AM43" s="68"/>
      <c r="AN43" s="68"/>
      <c r="AO43" s="69">
        <f t="shared" si="38"/>
        <v>0</v>
      </c>
      <c r="AP43" s="68"/>
      <c r="AQ43" s="68"/>
      <c r="AR43" s="69">
        <f t="shared" si="39"/>
        <v>0</v>
      </c>
      <c r="AS43" s="68"/>
      <c r="AT43" s="68"/>
      <c r="AU43" s="69">
        <f t="shared" si="40"/>
        <v>0</v>
      </c>
      <c r="AV43" s="68"/>
      <c r="AW43" s="68"/>
      <c r="AX43" s="69">
        <f t="shared" si="41"/>
        <v>0</v>
      </c>
      <c r="AY43" s="68"/>
      <c r="AZ43" s="68"/>
      <c r="BA43" s="69">
        <f t="shared" si="42"/>
        <v>0</v>
      </c>
      <c r="BB43" s="68"/>
      <c r="BC43" s="68"/>
      <c r="BD43" s="69">
        <f t="shared" si="43"/>
        <v>0</v>
      </c>
      <c r="BE43" s="68"/>
      <c r="BF43" s="68"/>
      <c r="BG43" s="69">
        <f t="shared" si="44"/>
        <v>0</v>
      </c>
      <c r="BH43" s="68"/>
      <c r="BI43" s="68"/>
      <c r="BJ43" s="69">
        <f t="shared" si="45"/>
        <v>0</v>
      </c>
      <c r="BK43" s="68"/>
      <c r="BL43" s="68"/>
      <c r="BM43" s="69">
        <f t="shared" si="46"/>
        <v>0</v>
      </c>
      <c r="BN43" s="68"/>
      <c r="BO43" s="68"/>
      <c r="BP43" s="69">
        <f t="shared" si="47"/>
        <v>0</v>
      </c>
      <c r="BQ43" s="68"/>
      <c r="BR43" s="68"/>
      <c r="BS43" s="69">
        <f t="shared" si="48"/>
        <v>0</v>
      </c>
      <c r="BT43" s="68"/>
      <c r="BU43" s="68"/>
      <c r="BV43" s="69">
        <f t="shared" si="49"/>
        <v>0</v>
      </c>
      <c r="BW43" s="36">
        <f t="shared" si="23"/>
        <v>0</v>
      </c>
      <c r="BX43" s="36">
        <f t="shared" si="23"/>
        <v>0</v>
      </c>
      <c r="BY43" s="36">
        <f t="shared" si="24"/>
        <v>0</v>
      </c>
      <c r="BZ43" s="36">
        <f t="shared" si="25"/>
        <v>0</v>
      </c>
      <c r="CA43" s="36">
        <f t="shared" si="25"/>
        <v>0</v>
      </c>
      <c r="CB43" s="36">
        <f t="shared" si="26"/>
        <v>0</v>
      </c>
    </row>
    <row r="44" spans="1:80" outlineLevel="1" x14ac:dyDescent="0.2">
      <c r="A44" s="33">
        <v>127</v>
      </c>
      <c r="B44" s="70" t="s">
        <v>63</v>
      </c>
      <c r="C44" s="71"/>
      <c r="D44" s="71"/>
      <c r="E44" s="72">
        <f t="shared" si="22"/>
        <v>0</v>
      </c>
      <c r="F44" s="71"/>
      <c r="G44" s="71"/>
      <c r="H44" s="72">
        <f t="shared" si="28"/>
        <v>0</v>
      </c>
      <c r="I44" s="71"/>
      <c r="J44" s="71"/>
      <c r="K44" s="72">
        <f t="shared" si="29"/>
        <v>0</v>
      </c>
      <c r="L44" s="71"/>
      <c r="M44" s="71"/>
      <c r="N44" s="72">
        <f t="shared" si="50"/>
        <v>0</v>
      </c>
      <c r="O44" s="71"/>
      <c r="P44" s="71"/>
      <c r="Q44" s="72">
        <f t="shared" si="30"/>
        <v>0</v>
      </c>
      <c r="R44" s="71"/>
      <c r="S44" s="71"/>
      <c r="T44" s="72">
        <f t="shared" si="31"/>
        <v>0</v>
      </c>
      <c r="U44" s="71"/>
      <c r="V44" s="71"/>
      <c r="W44" s="72">
        <f t="shared" si="32"/>
        <v>0</v>
      </c>
      <c r="X44" s="71"/>
      <c r="Y44" s="71"/>
      <c r="Z44" s="72">
        <f t="shared" si="33"/>
        <v>0</v>
      </c>
      <c r="AA44" s="71"/>
      <c r="AB44" s="71"/>
      <c r="AC44" s="72">
        <f t="shared" si="34"/>
        <v>0</v>
      </c>
      <c r="AD44" s="71"/>
      <c r="AE44" s="71"/>
      <c r="AF44" s="72">
        <f t="shared" si="35"/>
        <v>0</v>
      </c>
      <c r="AG44" s="71"/>
      <c r="AH44" s="71"/>
      <c r="AI44" s="72">
        <f t="shared" si="36"/>
        <v>0</v>
      </c>
      <c r="AJ44" s="71"/>
      <c r="AK44" s="71"/>
      <c r="AL44" s="72">
        <f t="shared" si="37"/>
        <v>0</v>
      </c>
      <c r="AM44" s="71"/>
      <c r="AN44" s="71"/>
      <c r="AO44" s="72">
        <f t="shared" si="38"/>
        <v>0</v>
      </c>
      <c r="AP44" s="71"/>
      <c r="AQ44" s="71"/>
      <c r="AR44" s="72">
        <f t="shared" si="39"/>
        <v>0</v>
      </c>
      <c r="AS44" s="71"/>
      <c r="AT44" s="71"/>
      <c r="AU44" s="72">
        <f t="shared" si="40"/>
        <v>0</v>
      </c>
      <c r="AV44" s="71"/>
      <c r="AW44" s="71"/>
      <c r="AX44" s="72">
        <f t="shared" si="41"/>
        <v>0</v>
      </c>
      <c r="AY44" s="71"/>
      <c r="AZ44" s="71"/>
      <c r="BA44" s="72">
        <f t="shared" si="42"/>
        <v>0</v>
      </c>
      <c r="BB44" s="71"/>
      <c r="BC44" s="71"/>
      <c r="BD44" s="72">
        <f t="shared" si="43"/>
        <v>0</v>
      </c>
      <c r="BE44" s="71"/>
      <c r="BF44" s="71"/>
      <c r="BG44" s="72">
        <f t="shared" si="44"/>
        <v>0</v>
      </c>
      <c r="BH44" s="71"/>
      <c r="BI44" s="71"/>
      <c r="BJ44" s="72">
        <f t="shared" si="45"/>
        <v>0</v>
      </c>
      <c r="BK44" s="71"/>
      <c r="BL44" s="71"/>
      <c r="BM44" s="72">
        <f t="shared" si="46"/>
        <v>0</v>
      </c>
      <c r="BN44" s="71"/>
      <c r="BO44" s="71"/>
      <c r="BP44" s="72">
        <f t="shared" si="47"/>
        <v>0</v>
      </c>
      <c r="BQ44" s="71"/>
      <c r="BR44" s="71"/>
      <c r="BS44" s="72">
        <f t="shared" si="48"/>
        <v>0</v>
      </c>
      <c r="BT44" s="71"/>
      <c r="BU44" s="71"/>
      <c r="BV44" s="72">
        <f t="shared" si="49"/>
        <v>0</v>
      </c>
      <c r="BW44" s="36">
        <f t="shared" si="23"/>
        <v>0</v>
      </c>
      <c r="BX44" s="36">
        <f t="shared" si="23"/>
        <v>0</v>
      </c>
      <c r="BY44" s="36">
        <f t="shared" si="24"/>
        <v>0</v>
      </c>
      <c r="BZ44" s="36">
        <f t="shared" si="25"/>
        <v>0</v>
      </c>
      <c r="CA44" s="36">
        <f t="shared" si="25"/>
        <v>0</v>
      </c>
      <c r="CB44" s="36">
        <f t="shared" si="26"/>
        <v>0</v>
      </c>
    </row>
    <row r="45" spans="1:80" outlineLevel="1" x14ac:dyDescent="0.2">
      <c r="A45" s="33">
        <v>128</v>
      </c>
      <c r="B45" s="49" t="s">
        <v>64</v>
      </c>
      <c r="C45" s="51"/>
      <c r="D45" s="51"/>
      <c r="E45" s="52">
        <f t="shared" si="22"/>
        <v>0</v>
      </c>
      <c r="F45" s="51"/>
      <c r="G45" s="51"/>
      <c r="H45" s="52">
        <f t="shared" si="28"/>
        <v>0</v>
      </c>
      <c r="I45" s="51"/>
      <c r="J45" s="51"/>
      <c r="K45" s="52">
        <f t="shared" si="29"/>
        <v>0</v>
      </c>
      <c r="L45" s="51"/>
      <c r="M45" s="51"/>
      <c r="N45" s="52">
        <f t="shared" si="50"/>
        <v>0</v>
      </c>
      <c r="O45" s="51"/>
      <c r="P45" s="51"/>
      <c r="Q45" s="52">
        <f t="shared" si="30"/>
        <v>0</v>
      </c>
      <c r="R45" s="51"/>
      <c r="S45" s="51"/>
      <c r="T45" s="52">
        <f t="shared" si="31"/>
        <v>0</v>
      </c>
      <c r="U45" s="51"/>
      <c r="V45" s="51"/>
      <c r="W45" s="52">
        <f t="shared" si="32"/>
        <v>0</v>
      </c>
      <c r="X45" s="51"/>
      <c r="Y45" s="51"/>
      <c r="Z45" s="52">
        <f t="shared" si="33"/>
        <v>0</v>
      </c>
      <c r="AA45" s="51"/>
      <c r="AB45" s="51"/>
      <c r="AC45" s="52">
        <f t="shared" si="34"/>
        <v>0</v>
      </c>
      <c r="AD45" s="51"/>
      <c r="AE45" s="51"/>
      <c r="AF45" s="52">
        <f t="shared" si="35"/>
        <v>0</v>
      </c>
      <c r="AG45" s="51"/>
      <c r="AH45" s="51"/>
      <c r="AI45" s="52">
        <f t="shared" si="36"/>
        <v>0</v>
      </c>
      <c r="AJ45" s="51"/>
      <c r="AK45" s="51"/>
      <c r="AL45" s="52">
        <f t="shared" si="37"/>
        <v>0</v>
      </c>
      <c r="AM45" s="51"/>
      <c r="AN45" s="51"/>
      <c r="AO45" s="52">
        <f t="shared" si="38"/>
        <v>0</v>
      </c>
      <c r="AP45" s="51"/>
      <c r="AQ45" s="51"/>
      <c r="AR45" s="52">
        <f t="shared" si="39"/>
        <v>0</v>
      </c>
      <c r="AS45" s="51"/>
      <c r="AT45" s="51"/>
      <c r="AU45" s="52">
        <f t="shared" si="40"/>
        <v>0</v>
      </c>
      <c r="AV45" s="51"/>
      <c r="AW45" s="51"/>
      <c r="AX45" s="52">
        <f t="shared" si="41"/>
        <v>0</v>
      </c>
      <c r="AY45" s="51"/>
      <c r="AZ45" s="51"/>
      <c r="BA45" s="52">
        <f t="shared" si="42"/>
        <v>0</v>
      </c>
      <c r="BB45" s="51"/>
      <c r="BC45" s="51"/>
      <c r="BD45" s="52">
        <f t="shared" si="43"/>
        <v>0</v>
      </c>
      <c r="BE45" s="51"/>
      <c r="BF45" s="51"/>
      <c r="BG45" s="52">
        <f t="shared" si="44"/>
        <v>0</v>
      </c>
      <c r="BH45" s="51"/>
      <c r="BI45" s="51"/>
      <c r="BJ45" s="52">
        <f t="shared" si="45"/>
        <v>0</v>
      </c>
      <c r="BK45" s="51"/>
      <c r="BL45" s="51"/>
      <c r="BM45" s="52">
        <f t="shared" si="46"/>
        <v>0</v>
      </c>
      <c r="BN45" s="51"/>
      <c r="BO45" s="51"/>
      <c r="BP45" s="52">
        <f t="shared" si="47"/>
        <v>0</v>
      </c>
      <c r="BQ45" s="51"/>
      <c r="BR45" s="51"/>
      <c r="BS45" s="52">
        <f t="shared" si="48"/>
        <v>0</v>
      </c>
      <c r="BT45" s="51"/>
      <c r="BU45" s="51"/>
      <c r="BV45" s="52">
        <f t="shared" si="49"/>
        <v>0</v>
      </c>
      <c r="BW45" s="36">
        <f t="shared" si="23"/>
        <v>0</v>
      </c>
      <c r="BX45" s="36">
        <f t="shared" si="23"/>
        <v>0</v>
      </c>
      <c r="BY45" s="36">
        <f t="shared" si="24"/>
        <v>0</v>
      </c>
      <c r="BZ45" s="36">
        <f t="shared" si="25"/>
        <v>0</v>
      </c>
      <c r="CA45" s="36">
        <f t="shared" si="25"/>
        <v>0</v>
      </c>
      <c r="CB45" s="36">
        <f t="shared" si="26"/>
        <v>0</v>
      </c>
    </row>
    <row r="46" spans="1:80" ht="25.5" outlineLevel="1" x14ac:dyDescent="0.2">
      <c r="A46" s="33">
        <v>129</v>
      </c>
      <c r="B46" s="49" t="s">
        <v>65</v>
      </c>
      <c r="C46" s="51"/>
      <c r="D46" s="51"/>
      <c r="E46" s="52">
        <f t="shared" si="22"/>
        <v>0</v>
      </c>
      <c r="F46" s="51"/>
      <c r="G46" s="51"/>
      <c r="H46" s="52">
        <f t="shared" si="28"/>
        <v>0</v>
      </c>
      <c r="I46" s="51"/>
      <c r="J46" s="51"/>
      <c r="K46" s="52">
        <f t="shared" si="29"/>
        <v>0</v>
      </c>
      <c r="L46" s="51"/>
      <c r="M46" s="51"/>
      <c r="N46" s="52">
        <f t="shared" si="50"/>
        <v>0</v>
      </c>
      <c r="O46" s="51"/>
      <c r="P46" s="51"/>
      <c r="Q46" s="52">
        <f t="shared" si="30"/>
        <v>0</v>
      </c>
      <c r="R46" s="51"/>
      <c r="S46" s="51"/>
      <c r="T46" s="52">
        <f t="shared" si="31"/>
        <v>0</v>
      </c>
      <c r="U46" s="51"/>
      <c r="V46" s="51"/>
      <c r="W46" s="52">
        <f t="shared" si="32"/>
        <v>0</v>
      </c>
      <c r="X46" s="51"/>
      <c r="Y46" s="51"/>
      <c r="Z46" s="52">
        <f t="shared" si="33"/>
        <v>0</v>
      </c>
      <c r="AA46" s="51"/>
      <c r="AB46" s="51"/>
      <c r="AC46" s="52">
        <f t="shared" si="34"/>
        <v>0</v>
      </c>
      <c r="AD46" s="51"/>
      <c r="AE46" s="51"/>
      <c r="AF46" s="52">
        <f t="shared" si="35"/>
        <v>0</v>
      </c>
      <c r="AG46" s="51"/>
      <c r="AH46" s="51"/>
      <c r="AI46" s="52">
        <f t="shared" si="36"/>
        <v>0</v>
      </c>
      <c r="AJ46" s="51"/>
      <c r="AK46" s="51"/>
      <c r="AL46" s="52">
        <f t="shared" si="37"/>
        <v>0</v>
      </c>
      <c r="AM46" s="51"/>
      <c r="AN46" s="51"/>
      <c r="AO46" s="52">
        <f t="shared" si="38"/>
        <v>0</v>
      </c>
      <c r="AP46" s="51"/>
      <c r="AQ46" s="51"/>
      <c r="AR46" s="52">
        <f t="shared" si="39"/>
        <v>0</v>
      </c>
      <c r="AS46" s="51"/>
      <c r="AT46" s="51"/>
      <c r="AU46" s="52">
        <f t="shared" si="40"/>
        <v>0</v>
      </c>
      <c r="AV46" s="51"/>
      <c r="AW46" s="51"/>
      <c r="AX46" s="52">
        <f t="shared" si="41"/>
        <v>0</v>
      </c>
      <c r="AY46" s="51"/>
      <c r="AZ46" s="51"/>
      <c r="BA46" s="52">
        <f t="shared" si="42"/>
        <v>0</v>
      </c>
      <c r="BB46" s="51"/>
      <c r="BC46" s="51">
        <f>190+234+296</f>
        <v>720</v>
      </c>
      <c r="BD46" s="52">
        <f t="shared" si="43"/>
        <v>720</v>
      </c>
      <c r="BE46" s="51"/>
      <c r="BF46" s="51"/>
      <c r="BG46" s="52">
        <f t="shared" si="44"/>
        <v>0</v>
      </c>
      <c r="BH46" s="62">
        <v>35175</v>
      </c>
      <c r="BI46" s="51">
        <f>2232+2425+415+51+496+241+525</f>
        <v>6385</v>
      </c>
      <c r="BJ46" s="52">
        <f t="shared" si="45"/>
        <v>41560</v>
      </c>
      <c r="BK46" s="51"/>
      <c r="BL46" s="51"/>
      <c r="BM46" s="52">
        <f t="shared" si="46"/>
        <v>0</v>
      </c>
      <c r="BN46" s="51"/>
      <c r="BO46" s="51">
        <f>2274+39</f>
        <v>2313</v>
      </c>
      <c r="BP46" s="52">
        <f t="shared" si="47"/>
        <v>2313</v>
      </c>
      <c r="BQ46" s="51"/>
      <c r="BR46" s="51"/>
      <c r="BS46" s="52">
        <f t="shared" si="48"/>
        <v>0</v>
      </c>
      <c r="BT46" s="62">
        <f>880+20877+6999+999</f>
        <v>29755</v>
      </c>
      <c r="BU46" s="51">
        <f>485+145+228</f>
        <v>858</v>
      </c>
      <c r="BV46" s="52">
        <f t="shared" si="49"/>
        <v>30613</v>
      </c>
      <c r="BW46" s="36">
        <f t="shared" si="23"/>
        <v>0</v>
      </c>
      <c r="BX46" s="36">
        <f t="shared" si="23"/>
        <v>0</v>
      </c>
      <c r="BY46" s="36">
        <f t="shared" si="24"/>
        <v>0</v>
      </c>
      <c r="BZ46" s="36">
        <f t="shared" si="25"/>
        <v>64930</v>
      </c>
      <c r="CA46" s="36">
        <f t="shared" si="25"/>
        <v>10276</v>
      </c>
      <c r="CB46" s="36">
        <f t="shared" si="26"/>
        <v>75206</v>
      </c>
    </row>
    <row r="47" spans="1:80" s="44" customFormat="1" ht="24" outlineLevel="1" x14ac:dyDescent="0.2">
      <c r="A47" s="38"/>
      <c r="B47" s="39" t="s">
        <v>66</v>
      </c>
      <c r="C47" s="63"/>
      <c r="D47" s="63"/>
      <c r="E47" s="60">
        <f t="shared" si="22"/>
        <v>0</v>
      </c>
      <c r="F47" s="63"/>
      <c r="G47" s="63"/>
      <c r="H47" s="60">
        <f t="shared" si="28"/>
        <v>0</v>
      </c>
      <c r="I47" s="63"/>
      <c r="J47" s="63"/>
      <c r="K47" s="60">
        <f t="shared" si="29"/>
        <v>0</v>
      </c>
      <c r="L47" s="63"/>
      <c r="M47" s="63"/>
      <c r="N47" s="60">
        <f t="shared" si="50"/>
        <v>0</v>
      </c>
      <c r="O47" s="63"/>
      <c r="P47" s="63"/>
      <c r="Q47" s="60">
        <f t="shared" si="30"/>
        <v>0</v>
      </c>
      <c r="R47" s="63"/>
      <c r="S47" s="63"/>
      <c r="T47" s="60">
        <f t="shared" si="31"/>
        <v>0</v>
      </c>
      <c r="U47" s="63"/>
      <c r="V47" s="63"/>
      <c r="W47" s="60">
        <f t="shared" si="32"/>
        <v>0</v>
      </c>
      <c r="X47" s="63"/>
      <c r="Y47" s="63"/>
      <c r="Z47" s="60">
        <f t="shared" si="33"/>
        <v>0</v>
      </c>
      <c r="AA47" s="63"/>
      <c r="AB47" s="63"/>
      <c r="AC47" s="60">
        <f t="shared" si="34"/>
        <v>0</v>
      </c>
      <c r="AD47" s="63"/>
      <c r="AE47" s="63"/>
      <c r="AF47" s="60">
        <f t="shared" si="35"/>
        <v>0</v>
      </c>
      <c r="AG47" s="63"/>
      <c r="AH47" s="63"/>
      <c r="AI47" s="60">
        <f t="shared" si="36"/>
        <v>0</v>
      </c>
      <c r="AJ47" s="63"/>
      <c r="AK47" s="63"/>
      <c r="AL47" s="60">
        <f t="shared" si="37"/>
        <v>0</v>
      </c>
      <c r="AM47" s="63"/>
      <c r="AN47" s="63"/>
      <c r="AO47" s="60">
        <f t="shared" si="38"/>
        <v>0</v>
      </c>
      <c r="AP47" s="63"/>
      <c r="AQ47" s="63"/>
      <c r="AR47" s="60">
        <f t="shared" si="39"/>
        <v>0</v>
      </c>
      <c r="AS47" s="63"/>
      <c r="AT47" s="63"/>
      <c r="AU47" s="60">
        <f t="shared" si="40"/>
        <v>0</v>
      </c>
      <c r="AV47" s="63"/>
      <c r="AW47" s="63"/>
      <c r="AX47" s="60">
        <f t="shared" si="41"/>
        <v>0</v>
      </c>
      <c r="AY47" s="63"/>
      <c r="AZ47" s="63"/>
      <c r="BA47" s="60">
        <f t="shared" si="42"/>
        <v>0</v>
      </c>
      <c r="BB47" s="63"/>
      <c r="BC47" s="63"/>
      <c r="BD47" s="60">
        <f t="shared" si="43"/>
        <v>0</v>
      </c>
      <c r="BE47" s="63"/>
      <c r="BF47" s="63"/>
      <c r="BG47" s="60">
        <f t="shared" si="44"/>
        <v>0</v>
      </c>
      <c r="BH47" s="63"/>
      <c r="BI47" s="63"/>
      <c r="BJ47" s="60">
        <f t="shared" si="45"/>
        <v>0</v>
      </c>
      <c r="BK47" s="63"/>
      <c r="BL47" s="63"/>
      <c r="BM47" s="60">
        <f t="shared" si="46"/>
        <v>0</v>
      </c>
      <c r="BN47" s="63"/>
      <c r="BO47" s="63"/>
      <c r="BP47" s="60">
        <f t="shared" si="47"/>
        <v>0</v>
      </c>
      <c r="BQ47" s="63"/>
      <c r="BR47" s="63"/>
      <c r="BS47" s="60">
        <f t="shared" si="48"/>
        <v>0</v>
      </c>
      <c r="BT47" s="63"/>
      <c r="BU47" s="63"/>
      <c r="BV47" s="60">
        <f t="shared" si="49"/>
        <v>0</v>
      </c>
      <c r="BW47" s="43">
        <f t="shared" si="23"/>
        <v>0</v>
      </c>
      <c r="BX47" s="43">
        <f t="shared" si="23"/>
        <v>0</v>
      </c>
      <c r="BY47" s="43">
        <f t="shared" si="24"/>
        <v>0</v>
      </c>
      <c r="BZ47" s="43">
        <f t="shared" si="25"/>
        <v>0</v>
      </c>
      <c r="CA47" s="43">
        <f t="shared" si="25"/>
        <v>0</v>
      </c>
      <c r="CB47" s="43">
        <f t="shared" si="26"/>
        <v>0</v>
      </c>
    </row>
    <row r="48" spans="1:80" outlineLevel="1" x14ac:dyDescent="0.2">
      <c r="A48" s="33">
        <v>130</v>
      </c>
      <c r="B48" s="49" t="s">
        <v>67</v>
      </c>
      <c r="C48" s="51"/>
      <c r="D48" s="51"/>
      <c r="E48" s="52">
        <f t="shared" si="22"/>
        <v>0</v>
      </c>
      <c r="F48" s="51"/>
      <c r="G48" s="51"/>
      <c r="H48" s="52">
        <f t="shared" si="28"/>
        <v>0</v>
      </c>
      <c r="I48" s="51"/>
      <c r="J48" s="51"/>
      <c r="K48" s="52">
        <f t="shared" si="29"/>
        <v>0</v>
      </c>
      <c r="L48" s="51"/>
      <c r="M48" s="51"/>
      <c r="N48" s="52">
        <f t="shared" si="50"/>
        <v>0</v>
      </c>
      <c r="O48" s="51"/>
      <c r="P48" s="51"/>
      <c r="Q48" s="52">
        <f t="shared" si="30"/>
        <v>0</v>
      </c>
      <c r="R48" s="51"/>
      <c r="S48" s="51"/>
      <c r="T48" s="52">
        <f t="shared" si="31"/>
        <v>0</v>
      </c>
      <c r="U48" s="51"/>
      <c r="V48" s="51"/>
      <c r="W48" s="52">
        <f t="shared" si="32"/>
        <v>0</v>
      </c>
      <c r="X48" s="51"/>
      <c r="Y48" s="51"/>
      <c r="Z48" s="52">
        <f t="shared" si="33"/>
        <v>0</v>
      </c>
      <c r="AA48" s="51"/>
      <c r="AB48" s="51"/>
      <c r="AC48" s="52">
        <f t="shared" si="34"/>
        <v>0</v>
      </c>
      <c r="AD48" s="51"/>
      <c r="AE48" s="51"/>
      <c r="AF48" s="52">
        <f t="shared" si="35"/>
        <v>0</v>
      </c>
      <c r="AG48" s="51"/>
      <c r="AH48" s="51"/>
      <c r="AI48" s="52">
        <f t="shared" si="36"/>
        <v>0</v>
      </c>
      <c r="AJ48" s="51"/>
      <c r="AK48" s="51"/>
      <c r="AL48" s="52">
        <f t="shared" si="37"/>
        <v>0</v>
      </c>
      <c r="AM48" s="51"/>
      <c r="AN48" s="51"/>
      <c r="AO48" s="52">
        <f t="shared" si="38"/>
        <v>0</v>
      </c>
      <c r="AP48" s="51"/>
      <c r="AQ48" s="51"/>
      <c r="AR48" s="52">
        <f t="shared" si="39"/>
        <v>0</v>
      </c>
      <c r="AS48" s="51"/>
      <c r="AT48" s="51"/>
      <c r="AU48" s="52">
        <f t="shared" si="40"/>
        <v>0</v>
      </c>
      <c r="AV48" s="51"/>
      <c r="AW48" s="51">
        <f>17579+900</f>
        <v>18479</v>
      </c>
      <c r="AX48" s="52">
        <f t="shared" si="41"/>
        <v>18479</v>
      </c>
      <c r="AY48" s="51"/>
      <c r="AZ48" s="51"/>
      <c r="BA48" s="52">
        <f t="shared" si="42"/>
        <v>0</v>
      </c>
      <c r="BB48" s="51">
        <v>3860</v>
      </c>
      <c r="BC48" s="51">
        <f>21000+2000+4500+70+247</f>
        <v>27817</v>
      </c>
      <c r="BD48" s="52">
        <f t="shared" si="43"/>
        <v>31677</v>
      </c>
      <c r="BE48" s="51"/>
      <c r="BF48" s="51"/>
      <c r="BG48" s="52">
        <f t="shared" si="44"/>
        <v>0</v>
      </c>
      <c r="BH48" s="62">
        <f>5122+2000+4504</f>
        <v>11626</v>
      </c>
      <c r="BI48" s="51">
        <f>1658+80+243+160+607+900+80+2000+5000+750</f>
        <v>11478</v>
      </c>
      <c r="BJ48" s="52">
        <f t="shared" si="45"/>
        <v>23104</v>
      </c>
      <c r="BK48" s="51"/>
      <c r="BL48" s="51"/>
      <c r="BM48" s="52">
        <f t="shared" si="46"/>
        <v>0</v>
      </c>
      <c r="BN48" s="62">
        <f>1000+11363.25</f>
        <v>12363.25</v>
      </c>
      <c r="BO48" s="51">
        <f>7300+3755+2056+200+400+400</f>
        <v>14111</v>
      </c>
      <c r="BP48" s="52">
        <f t="shared" si="47"/>
        <v>26474.25</v>
      </c>
      <c r="BQ48" s="51"/>
      <c r="BR48" s="51"/>
      <c r="BS48" s="52">
        <f t="shared" si="48"/>
        <v>0</v>
      </c>
      <c r="BT48" s="62">
        <f>1000+9603.5</f>
        <v>10603.5</v>
      </c>
      <c r="BU48" s="51">
        <f>200+145+10000</f>
        <v>10345</v>
      </c>
      <c r="BV48" s="52">
        <f t="shared" si="49"/>
        <v>20948.5</v>
      </c>
      <c r="BW48" s="36">
        <f t="shared" si="23"/>
        <v>0</v>
      </c>
      <c r="BX48" s="36">
        <f t="shared" si="23"/>
        <v>0</v>
      </c>
      <c r="BY48" s="36">
        <f t="shared" si="24"/>
        <v>0</v>
      </c>
      <c r="BZ48" s="36">
        <f t="shared" si="25"/>
        <v>38452.75</v>
      </c>
      <c r="CA48" s="36">
        <f t="shared" si="25"/>
        <v>82230</v>
      </c>
      <c r="CB48" s="36">
        <f t="shared" si="26"/>
        <v>120682.75</v>
      </c>
    </row>
    <row r="49" spans="1:80" s="44" customFormat="1" ht="24" outlineLevel="1" x14ac:dyDescent="0.2">
      <c r="A49" s="38"/>
      <c r="B49" s="39" t="s">
        <v>68</v>
      </c>
      <c r="C49" s="63"/>
      <c r="D49" s="63"/>
      <c r="E49" s="60">
        <f t="shared" si="22"/>
        <v>0</v>
      </c>
      <c r="F49" s="63"/>
      <c r="G49" s="63"/>
      <c r="H49" s="60">
        <f t="shared" si="28"/>
        <v>0</v>
      </c>
      <c r="I49" s="63"/>
      <c r="J49" s="63"/>
      <c r="K49" s="60">
        <f t="shared" si="29"/>
        <v>0</v>
      </c>
      <c r="L49" s="63"/>
      <c r="M49" s="63"/>
      <c r="N49" s="60">
        <f t="shared" si="50"/>
        <v>0</v>
      </c>
      <c r="O49" s="63"/>
      <c r="P49" s="63"/>
      <c r="Q49" s="60">
        <f t="shared" si="30"/>
        <v>0</v>
      </c>
      <c r="R49" s="63"/>
      <c r="S49" s="63"/>
      <c r="T49" s="60">
        <f t="shared" si="31"/>
        <v>0</v>
      </c>
      <c r="U49" s="63"/>
      <c r="V49" s="63"/>
      <c r="W49" s="60">
        <f t="shared" si="32"/>
        <v>0</v>
      </c>
      <c r="X49" s="63"/>
      <c r="Y49" s="63"/>
      <c r="Z49" s="60">
        <f t="shared" si="33"/>
        <v>0</v>
      </c>
      <c r="AA49" s="63"/>
      <c r="AB49" s="63"/>
      <c r="AC49" s="60">
        <f t="shared" si="34"/>
        <v>0</v>
      </c>
      <c r="AD49" s="63"/>
      <c r="AE49" s="63"/>
      <c r="AF49" s="60">
        <f t="shared" si="35"/>
        <v>0</v>
      </c>
      <c r="AG49" s="63"/>
      <c r="AH49" s="63"/>
      <c r="AI49" s="60">
        <f t="shared" si="36"/>
        <v>0</v>
      </c>
      <c r="AJ49" s="63"/>
      <c r="AK49" s="63"/>
      <c r="AL49" s="60">
        <f t="shared" si="37"/>
        <v>0</v>
      </c>
      <c r="AM49" s="63"/>
      <c r="AN49" s="63"/>
      <c r="AO49" s="60">
        <f t="shared" si="38"/>
        <v>0</v>
      </c>
      <c r="AP49" s="63"/>
      <c r="AQ49" s="63"/>
      <c r="AR49" s="60">
        <f t="shared" si="39"/>
        <v>0</v>
      </c>
      <c r="AS49" s="63"/>
      <c r="AT49" s="63"/>
      <c r="AU49" s="60">
        <f t="shared" si="40"/>
        <v>0</v>
      </c>
      <c r="AV49" s="63"/>
      <c r="AW49" s="63"/>
      <c r="AX49" s="60">
        <f t="shared" si="41"/>
        <v>0</v>
      </c>
      <c r="AY49" s="63"/>
      <c r="AZ49" s="63"/>
      <c r="BA49" s="60">
        <f t="shared" si="42"/>
        <v>0</v>
      </c>
      <c r="BB49" s="63"/>
      <c r="BC49" s="63"/>
      <c r="BD49" s="60">
        <f t="shared" si="43"/>
        <v>0</v>
      </c>
      <c r="BE49" s="63"/>
      <c r="BF49" s="63"/>
      <c r="BG49" s="60">
        <f t="shared" si="44"/>
        <v>0</v>
      </c>
      <c r="BH49" s="63"/>
      <c r="BI49" s="63"/>
      <c r="BJ49" s="60">
        <f t="shared" si="45"/>
        <v>0</v>
      </c>
      <c r="BK49" s="63"/>
      <c r="BL49" s="63"/>
      <c r="BM49" s="60">
        <f t="shared" si="46"/>
        <v>0</v>
      </c>
      <c r="BN49" s="63"/>
      <c r="BO49" s="63"/>
      <c r="BP49" s="60">
        <f t="shared" si="47"/>
        <v>0</v>
      </c>
      <c r="BQ49" s="63"/>
      <c r="BR49" s="63"/>
      <c r="BS49" s="60">
        <f t="shared" si="48"/>
        <v>0</v>
      </c>
      <c r="BT49" s="63"/>
      <c r="BU49" s="63"/>
      <c r="BV49" s="60">
        <f t="shared" si="49"/>
        <v>0</v>
      </c>
      <c r="BW49" s="43">
        <f t="shared" si="23"/>
        <v>0</v>
      </c>
      <c r="BX49" s="43">
        <f t="shared" si="23"/>
        <v>0</v>
      </c>
      <c r="BY49" s="43">
        <f t="shared" si="24"/>
        <v>0</v>
      </c>
      <c r="BZ49" s="43">
        <f t="shared" si="25"/>
        <v>0</v>
      </c>
      <c r="CA49" s="43">
        <f t="shared" si="25"/>
        <v>0</v>
      </c>
      <c r="CB49" s="43">
        <f t="shared" si="26"/>
        <v>0</v>
      </c>
    </row>
    <row r="50" spans="1:80" outlineLevel="1" x14ac:dyDescent="0.2">
      <c r="A50" s="33">
        <v>131</v>
      </c>
      <c r="B50" s="49" t="s">
        <v>69</v>
      </c>
      <c r="C50" s="51"/>
      <c r="D50" s="51"/>
      <c r="E50" s="52">
        <f t="shared" si="22"/>
        <v>0</v>
      </c>
      <c r="F50" s="51"/>
      <c r="G50" s="51"/>
      <c r="H50" s="52">
        <f t="shared" si="28"/>
        <v>0</v>
      </c>
      <c r="I50" s="51"/>
      <c r="J50" s="51"/>
      <c r="K50" s="52">
        <f t="shared" si="29"/>
        <v>0</v>
      </c>
      <c r="L50" s="51"/>
      <c r="M50" s="51"/>
      <c r="N50" s="52">
        <f t="shared" si="50"/>
        <v>0</v>
      </c>
      <c r="O50" s="51"/>
      <c r="P50" s="51"/>
      <c r="Q50" s="52">
        <f t="shared" si="30"/>
        <v>0</v>
      </c>
      <c r="R50" s="51"/>
      <c r="S50" s="51"/>
      <c r="T50" s="52">
        <f t="shared" si="31"/>
        <v>0</v>
      </c>
      <c r="U50" s="51"/>
      <c r="V50" s="51"/>
      <c r="W50" s="52">
        <f t="shared" si="32"/>
        <v>0</v>
      </c>
      <c r="X50" s="51"/>
      <c r="Y50" s="51"/>
      <c r="Z50" s="52">
        <f t="shared" si="33"/>
        <v>0</v>
      </c>
      <c r="AA50" s="51"/>
      <c r="AB50" s="51"/>
      <c r="AC50" s="52">
        <f t="shared" si="34"/>
        <v>0</v>
      </c>
      <c r="AD50" s="51"/>
      <c r="AE50" s="51"/>
      <c r="AF50" s="52">
        <f t="shared" si="35"/>
        <v>0</v>
      </c>
      <c r="AG50" s="51"/>
      <c r="AH50" s="51"/>
      <c r="AI50" s="52">
        <f t="shared" si="36"/>
        <v>0</v>
      </c>
      <c r="AJ50" s="51"/>
      <c r="AK50" s="51"/>
      <c r="AL50" s="52">
        <f t="shared" si="37"/>
        <v>0</v>
      </c>
      <c r="AM50" s="51"/>
      <c r="AN50" s="51"/>
      <c r="AO50" s="52">
        <f t="shared" si="38"/>
        <v>0</v>
      </c>
      <c r="AP50" s="51"/>
      <c r="AQ50" s="51"/>
      <c r="AR50" s="52">
        <f t="shared" si="39"/>
        <v>0</v>
      </c>
      <c r="AS50" s="51"/>
      <c r="AT50" s="51"/>
      <c r="AU50" s="52">
        <f t="shared" si="40"/>
        <v>0</v>
      </c>
      <c r="AV50" s="51"/>
      <c r="AW50" s="51">
        <v>5900</v>
      </c>
      <c r="AX50" s="52">
        <f t="shared" si="41"/>
        <v>5900</v>
      </c>
      <c r="AY50" s="51"/>
      <c r="AZ50" s="51"/>
      <c r="BA50" s="52">
        <f t="shared" si="42"/>
        <v>0</v>
      </c>
      <c r="BB50" s="51">
        <v>5600</v>
      </c>
      <c r="BC50" s="51"/>
      <c r="BD50" s="52">
        <f t="shared" si="43"/>
        <v>5600</v>
      </c>
      <c r="BE50" s="51"/>
      <c r="BF50" s="51"/>
      <c r="BG50" s="52">
        <f t="shared" si="44"/>
        <v>0</v>
      </c>
      <c r="BH50" s="51"/>
      <c r="BI50" s="51"/>
      <c r="BJ50" s="52">
        <f t="shared" si="45"/>
        <v>0</v>
      </c>
      <c r="BK50" s="51"/>
      <c r="BL50" s="51"/>
      <c r="BM50" s="52">
        <f t="shared" si="46"/>
        <v>0</v>
      </c>
      <c r="BN50" s="51"/>
      <c r="BO50" s="51">
        <v>600</v>
      </c>
      <c r="BP50" s="52">
        <f t="shared" si="47"/>
        <v>600</v>
      </c>
      <c r="BQ50" s="51"/>
      <c r="BR50" s="51"/>
      <c r="BS50" s="52">
        <f t="shared" si="48"/>
        <v>0</v>
      </c>
      <c r="BT50" s="51"/>
      <c r="BU50" s="51"/>
      <c r="BV50" s="52">
        <f t="shared" si="49"/>
        <v>0</v>
      </c>
      <c r="BW50" s="36">
        <f t="shared" si="23"/>
        <v>0</v>
      </c>
      <c r="BX50" s="36">
        <f t="shared" si="23"/>
        <v>0</v>
      </c>
      <c r="BY50" s="36">
        <f t="shared" si="24"/>
        <v>0</v>
      </c>
      <c r="BZ50" s="36">
        <f t="shared" si="25"/>
        <v>5600</v>
      </c>
      <c r="CA50" s="36">
        <f t="shared" si="25"/>
        <v>6500</v>
      </c>
      <c r="CB50" s="36">
        <f t="shared" si="26"/>
        <v>12100</v>
      </c>
    </row>
    <row r="51" spans="1:80" s="44" customFormat="1" ht="12" outlineLevel="1" x14ac:dyDescent="0.2">
      <c r="A51" s="38"/>
      <c r="B51" s="39" t="s">
        <v>70</v>
      </c>
      <c r="C51" s="63"/>
      <c r="D51" s="63"/>
      <c r="E51" s="60">
        <f t="shared" si="22"/>
        <v>0</v>
      </c>
      <c r="F51" s="63"/>
      <c r="G51" s="63"/>
      <c r="H51" s="60">
        <f t="shared" si="28"/>
        <v>0</v>
      </c>
      <c r="I51" s="63"/>
      <c r="J51" s="63"/>
      <c r="K51" s="60">
        <f t="shared" si="29"/>
        <v>0</v>
      </c>
      <c r="L51" s="63"/>
      <c r="M51" s="63"/>
      <c r="N51" s="60">
        <f t="shared" si="50"/>
        <v>0</v>
      </c>
      <c r="O51" s="63"/>
      <c r="P51" s="63"/>
      <c r="Q51" s="60">
        <f t="shared" si="30"/>
        <v>0</v>
      </c>
      <c r="R51" s="63"/>
      <c r="S51" s="63"/>
      <c r="T51" s="60">
        <f t="shared" si="31"/>
        <v>0</v>
      </c>
      <c r="U51" s="63"/>
      <c r="V51" s="63"/>
      <c r="W51" s="60">
        <f t="shared" si="32"/>
        <v>0</v>
      </c>
      <c r="X51" s="63"/>
      <c r="Y51" s="63"/>
      <c r="Z51" s="60">
        <f t="shared" si="33"/>
        <v>0</v>
      </c>
      <c r="AA51" s="63"/>
      <c r="AB51" s="63"/>
      <c r="AC51" s="60">
        <f t="shared" si="34"/>
        <v>0</v>
      </c>
      <c r="AD51" s="63"/>
      <c r="AE51" s="63"/>
      <c r="AF51" s="60">
        <f t="shared" si="35"/>
        <v>0</v>
      </c>
      <c r="AG51" s="63"/>
      <c r="AH51" s="63"/>
      <c r="AI51" s="60">
        <f t="shared" si="36"/>
        <v>0</v>
      </c>
      <c r="AJ51" s="63"/>
      <c r="AK51" s="63"/>
      <c r="AL51" s="60">
        <f t="shared" si="37"/>
        <v>0</v>
      </c>
      <c r="AM51" s="63"/>
      <c r="AN51" s="63"/>
      <c r="AO51" s="60">
        <f t="shared" si="38"/>
        <v>0</v>
      </c>
      <c r="AP51" s="63"/>
      <c r="AQ51" s="63"/>
      <c r="AR51" s="60">
        <f t="shared" si="39"/>
        <v>0</v>
      </c>
      <c r="AS51" s="63"/>
      <c r="AT51" s="63"/>
      <c r="AU51" s="60">
        <f t="shared" si="40"/>
        <v>0</v>
      </c>
      <c r="AV51" s="63"/>
      <c r="AW51" s="63"/>
      <c r="AX51" s="60">
        <f t="shared" si="41"/>
        <v>0</v>
      </c>
      <c r="AY51" s="63"/>
      <c r="AZ51" s="63"/>
      <c r="BA51" s="60">
        <f t="shared" si="42"/>
        <v>0</v>
      </c>
      <c r="BB51" s="63"/>
      <c r="BC51" s="63"/>
      <c r="BD51" s="60">
        <f t="shared" si="43"/>
        <v>0</v>
      </c>
      <c r="BE51" s="63"/>
      <c r="BF51" s="63"/>
      <c r="BG51" s="60">
        <f t="shared" si="44"/>
        <v>0</v>
      </c>
      <c r="BH51" s="63"/>
      <c r="BI51" s="63"/>
      <c r="BJ51" s="60">
        <f t="shared" si="45"/>
        <v>0</v>
      </c>
      <c r="BK51" s="63"/>
      <c r="BL51" s="63"/>
      <c r="BM51" s="60">
        <f t="shared" si="46"/>
        <v>0</v>
      </c>
      <c r="BN51" s="63"/>
      <c r="BO51" s="63"/>
      <c r="BP51" s="60">
        <f t="shared" si="47"/>
        <v>0</v>
      </c>
      <c r="BQ51" s="63"/>
      <c r="BR51" s="63"/>
      <c r="BS51" s="60">
        <f t="shared" si="48"/>
        <v>0</v>
      </c>
      <c r="BT51" s="63"/>
      <c r="BU51" s="63"/>
      <c r="BV51" s="60">
        <f t="shared" si="49"/>
        <v>0</v>
      </c>
      <c r="BW51" s="43">
        <f t="shared" si="23"/>
        <v>0</v>
      </c>
      <c r="BX51" s="43">
        <f t="shared" si="23"/>
        <v>0</v>
      </c>
      <c r="BY51" s="43">
        <f t="shared" si="24"/>
        <v>0</v>
      </c>
      <c r="BZ51" s="43">
        <f t="shared" si="25"/>
        <v>0</v>
      </c>
      <c r="CA51" s="43">
        <f t="shared" si="25"/>
        <v>0</v>
      </c>
      <c r="CB51" s="43">
        <f t="shared" si="26"/>
        <v>0</v>
      </c>
    </row>
    <row r="52" spans="1:80" ht="25.5" outlineLevel="1" x14ac:dyDescent="0.2">
      <c r="A52" s="33">
        <v>132</v>
      </c>
      <c r="B52" s="49" t="s">
        <v>71</v>
      </c>
      <c r="C52" s="51"/>
      <c r="D52" s="51"/>
      <c r="E52" s="52">
        <f t="shared" si="22"/>
        <v>0</v>
      </c>
      <c r="F52" s="51"/>
      <c r="G52" s="51"/>
      <c r="H52" s="52">
        <f t="shared" si="28"/>
        <v>0</v>
      </c>
      <c r="I52" s="51"/>
      <c r="J52" s="51"/>
      <c r="K52" s="52">
        <f t="shared" si="29"/>
        <v>0</v>
      </c>
      <c r="L52" s="51"/>
      <c r="M52" s="51"/>
      <c r="N52" s="52">
        <f t="shared" si="50"/>
        <v>0</v>
      </c>
      <c r="O52" s="51"/>
      <c r="P52" s="51"/>
      <c r="Q52" s="52">
        <f t="shared" si="30"/>
        <v>0</v>
      </c>
      <c r="R52" s="51"/>
      <c r="S52" s="51"/>
      <c r="T52" s="52">
        <f t="shared" si="31"/>
        <v>0</v>
      </c>
      <c r="U52" s="51"/>
      <c r="V52" s="51"/>
      <c r="W52" s="52">
        <f t="shared" si="32"/>
        <v>0</v>
      </c>
      <c r="X52" s="51"/>
      <c r="Y52" s="51"/>
      <c r="Z52" s="52">
        <f t="shared" si="33"/>
        <v>0</v>
      </c>
      <c r="AA52" s="51"/>
      <c r="AB52" s="51"/>
      <c r="AC52" s="52">
        <f t="shared" si="34"/>
        <v>0</v>
      </c>
      <c r="AD52" s="51"/>
      <c r="AE52" s="51"/>
      <c r="AF52" s="52">
        <f t="shared" si="35"/>
        <v>0</v>
      </c>
      <c r="AG52" s="51"/>
      <c r="AH52" s="51"/>
      <c r="AI52" s="52">
        <f t="shared" si="36"/>
        <v>0</v>
      </c>
      <c r="AJ52" s="51"/>
      <c r="AK52" s="51"/>
      <c r="AL52" s="52">
        <f t="shared" si="37"/>
        <v>0</v>
      </c>
      <c r="AM52" s="51"/>
      <c r="AN52" s="51"/>
      <c r="AO52" s="52">
        <f t="shared" si="38"/>
        <v>0</v>
      </c>
      <c r="AP52" s="51"/>
      <c r="AQ52" s="51"/>
      <c r="AR52" s="52">
        <f t="shared" si="39"/>
        <v>0</v>
      </c>
      <c r="AS52" s="51"/>
      <c r="AT52" s="51"/>
      <c r="AU52" s="52">
        <f t="shared" si="40"/>
        <v>0</v>
      </c>
      <c r="AV52" s="51"/>
      <c r="AW52" s="51">
        <f>1100</f>
        <v>1100</v>
      </c>
      <c r="AX52" s="52">
        <f t="shared" si="41"/>
        <v>1100</v>
      </c>
      <c r="AY52" s="51"/>
      <c r="AZ52" s="51"/>
      <c r="BA52" s="52">
        <f t="shared" si="42"/>
        <v>0</v>
      </c>
      <c r="BB52" s="51"/>
      <c r="BC52" s="51">
        <v>500</v>
      </c>
      <c r="BD52" s="52">
        <f t="shared" si="43"/>
        <v>500</v>
      </c>
      <c r="BE52" s="51"/>
      <c r="BF52" s="51"/>
      <c r="BG52" s="52">
        <f t="shared" si="44"/>
        <v>0</v>
      </c>
      <c r="BH52" s="51"/>
      <c r="BI52" s="51">
        <f>150+1000</f>
        <v>1150</v>
      </c>
      <c r="BJ52" s="52">
        <f t="shared" si="45"/>
        <v>1150</v>
      </c>
      <c r="BK52" s="51"/>
      <c r="BL52" s="51"/>
      <c r="BM52" s="52">
        <f t="shared" si="46"/>
        <v>0</v>
      </c>
      <c r="BN52" s="51"/>
      <c r="BO52" s="51">
        <f>500</f>
        <v>500</v>
      </c>
      <c r="BP52" s="52">
        <f t="shared" si="47"/>
        <v>500</v>
      </c>
      <c r="BQ52" s="51"/>
      <c r="BR52" s="51"/>
      <c r="BS52" s="52">
        <f t="shared" si="48"/>
        <v>0</v>
      </c>
      <c r="BT52" s="51"/>
      <c r="BU52" s="51">
        <v>600</v>
      </c>
      <c r="BV52" s="52">
        <f t="shared" si="49"/>
        <v>600</v>
      </c>
      <c r="BW52" s="36">
        <f t="shared" si="23"/>
        <v>0</v>
      </c>
      <c r="BX52" s="36">
        <f t="shared" si="23"/>
        <v>0</v>
      </c>
      <c r="BY52" s="36">
        <f t="shared" si="24"/>
        <v>0</v>
      </c>
      <c r="BZ52" s="36">
        <f t="shared" si="25"/>
        <v>0</v>
      </c>
      <c r="CA52" s="36">
        <f t="shared" si="25"/>
        <v>3850</v>
      </c>
      <c r="CB52" s="36">
        <f t="shared" si="26"/>
        <v>3850</v>
      </c>
    </row>
    <row r="53" spans="1:80" outlineLevel="1" x14ac:dyDescent="0.2">
      <c r="A53" s="33">
        <v>133</v>
      </c>
      <c r="B53" s="49" t="s">
        <v>72</v>
      </c>
      <c r="C53" s="51"/>
      <c r="D53" s="51"/>
      <c r="E53" s="52">
        <f t="shared" si="22"/>
        <v>0</v>
      </c>
      <c r="F53" s="51"/>
      <c r="G53" s="51"/>
      <c r="H53" s="52">
        <f t="shared" si="28"/>
        <v>0</v>
      </c>
      <c r="I53" s="51"/>
      <c r="J53" s="51"/>
      <c r="K53" s="52">
        <f t="shared" si="29"/>
        <v>0</v>
      </c>
      <c r="L53" s="51"/>
      <c r="M53" s="51"/>
      <c r="N53" s="52">
        <f t="shared" si="50"/>
        <v>0</v>
      </c>
      <c r="O53" s="51"/>
      <c r="P53" s="51"/>
      <c r="Q53" s="52">
        <f t="shared" si="30"/>
        <v>0</v>
      </c>
      <c r="R53" s="51"/>
      <c r="S53" s="51"/>
      <c r="T53" s="52">
        <f t="shared" si="31"/>
        <v>0</v>
      </c>
      <c r="U53" s="51"/>
      <c r="V53" s="51"/>
      <c r="W53" s="52">
        <f t="shared" si="32"/>
        <v>0</v>
      </c>
      <c r="X53" s="51"/>
      <c r="Y53" s="51"/>
      <c r="Z53" s="52">
        <f t="shared" si="33"/>
        <v>0</v>
      </c>
      <c r="AA53" s="51"/>
      <c r="AB53" s="51"/>
      <c r="AC53" s="52">
        <f t="shared" si="34"/>
        <v>0</v>
      </c>
      <c r="AD53" s="51"/>
      <c r="AE53" s="51"/>
      <c r="AF53" s="52">
        <f t="shared" si="35"/>
        <v>0</v>
      </c>
      <c r="AG53" s="51"/>
      <c r="AH53" s="51"/>
      <c r="AI53" s="52">
        <f t="shared" si="36"/>
        <v>0</v>
      </c>
      <c r="AJ53" s="51"/>
      <c r="AK53" s="51"/>
      <c r="AL53" s="52">
        <f t="shared" si="37"/>
        <v>0</v>
      </c>
      <c r="AM53" s="51"/>
      <c r="AN53" s="51"/>
      <c r="AO53" s="52">
        <f t="shared" si="38"/>
        <v>0</v>
      </c>
      <c r="AP53" s="51"/>
      <c r="AQ53" s="51"/>
      <c r="AR53" s="52">
        <f t="shared" si="39"/>
        <v>0</v>
      </c>
      <c r="AS53" s="51"/>
      <c r="AT53" s="51"/>
      <c r="AU53" s="52">
        <f t="shared" si="40"/>
        <v>0</v>
      </c>
      <c r="AV53" s="51"/>
      <c r="AW53" s="51"/>
      <c r="AX53" s="52">
        <f t="shared" si="41"/>
        <v>0</v>
      </c>
      <c r="AY53" s="51"/>
      <c r="AZ53" s="51"/>
      <c r="BA53" s="52">
        <f t="shared" si="42"/>
        <v>0</v>
      </c>
      <c r="BB53" s="51"/>
      <c r="BC53" s="51"/>
      <c r="BD53" s="52">
        <f t="shared" si="43"/>
        <v>0</v>
      </c>
      <c r="BE53" s="51"/>
      <c r="BF53" s="51"/>
      <c r="BG53" s="52">
        <f t="shared" si="44"/>
        <v>0</v>
      </c>
      <c r="BH53" s="51"/>
      <c r="BI53" s="51"/>
      <c r="BJ53" s="52">
        <f t="shared" si="45"/>
        <v>0</v>
      </c>
      <c r="BK53" s="51"/>
      <c r="BL53" s="51"/>
      <c r="BM53" s="52">
        <f t="shared" si="46"/>
        <v>0</v>
      </c>
      <c r="BN53" s="62"/>
      <c r="BO53" s="51"/>
      <c r="BP53" s="52">
        <f t="shared" si="47"/>
        <v>0</v>
      </c>
      <c r="BQ53" s="51"/>
      <c r="BR53" s="51"/>
      <c r="BS53" s="52">
        <f t="shared" si="48"/>
        <v>0</v>
      </c>
      <c r="BT53" s="51"/>
      <c r="BU53" s="51"/>
      <c r="BV53" s="52">
        <f t="shared" si="49"/>
        <v>0</v>
      </c>
      <c r="BW53" s="36">
        <f t="shared" si="23"/>
        <v>0</v>
      </c>
      <c r="BX53" s="36">
        <f t="shared" si="23"/>
        <v>0</v>
      </c>
      <c r="BY53" s="36">
        <f t="shared" si="24"/>
        <v>0</v>
      </c>
      <c r="BZ53" s="36">
        <f t="shared" si="25"/>
        <v>0</v>
      </c>
      <c r="CA53" s="36">
        <f t="shared" si="25"/>
        <v>0</v>
      </c>
      <c r="CB53" s="36">
        <f t="shared" si="26"/>
        <v>0</v>
      </c>
    </row>
    <row r="54" spans="1:80" outlineLevel="1" x14ac:dyDescent="0.2">
      <c r="A54" s="33">
        <v>134</v>
      </c>
      <c r="B54" s="49" t="s">
        <v>73</v>
      </c>
      <c r="C54" s="51"/>
      <c r="D54" s="51"/>
      <c r="E54" s="52">
        <f t="shared" si="22"/>
        <v>0</v>
      </c>
      <c r="F54" s="51"/>
      <c r="G54" s="51"/>
      <c r="H54" s="52">
        <f t="shared" si="28"/>
        <v>0</v>
      </c>
      <c r="I54" s="51"/>
      <c r="J54" s="51"/>
      <c r="K54" s="52">
        <f t="shared" si="29"/>
        <v>0</v>
      </c>
      <c r="L54" s="51"/>
      <c r="M54" s="51"/>
      <c r="N54" s="52">
        <f t="shared" si="50"/>
        <v>0</v>
      </c>
      <c r="O54" s="51"/>
      <c r="P54" s="51"/>
      <c r="Q54" s="52">
        <f t="shared" si="30"/>
        <v>0</v>
      </c>
      <c r="R54" s="51"/>
      <c r="S54" s="51"/>
      <c r="T54" s="52">
        <f t="shared" si="31"/>
        <v>0</v>
      </c>
      <c r="U54" s="51"/>
      <c r="V54" s="51"/>
      <c r="W54" s="52">
        <f t="shared" si="32"/>
        <v>0</v>
      </c>
      <c r="X54" s="51"/>
      <c r="Y54" s="51"/>
      <c r="Z54" s="52">
        <f t="shared" si="33"/>
        <v>0</v>
      </c>
      <c r="AA54" s="51"/>
      <c r="AB54" s="51"/>
      <c r="AC54" s="52">
        <f t="shared" si="34"/>
        <v>0</v>
      </c>
      <c r="AD54" s="51"/>
      <c r="AE54" s="51"/>
      <c r="AF54" s="52">
        <f t="shared" si="35"/>
        <v>0</v>
      </c>
      <c r="AG54" s="51"/>
      <c r="AH54" s="51"/>
      <c r="AI54" s="52">
        <f t="shared" si="36"/>
        <v>0</v>
      </c>
      <c r="AJ54" s="51"/>
      <c r="AK54" s="51"/>
      <c r="AL54" s="52">
        <f t="shared" si="37"/>
        <v>0</v>
      </c>
      <c r="AM54" s="51"/>
      <c r="AN54" s="51"/>
      <c r="AO54" s="52">
        <f t="shared" si="38"/>
        <v>0</v>
      </c>
      <c r="AP54" s="51"/>
      <c r="AQ54" s="51"/>
      <c r="AR54" s="52">
        <f t="shared" si="39"/>
        <v>0</v>
      </c>
      <c r="AS54" s="51"/>
      <c r="AT54" s="51"/>
      <c r="AU54" s="52">
        <f t="shared" si="40"/>
        <v>0</v>
      </c>
      <c r="AV54" s="51"/>
      <c r="AW54" s="51"/>
      <c r="AX54" s="52">
        <f t="shared" si="41"/>
        <v>0</v>
      </c>
      <c r="AY54" s="51"/>
      <c r="AZ54" s="51"/>
      <c r="BA54" s="52">
        <f t="shared" si="42"/>
        <v>0</v>
      </c>
      <c r="BB54" s="51">
        <v>12</v>
      </c>
      <c r="BC54" s="51"/>
      <c r="BD54" s="52">
        <f t="shared" si="43"/>
        <v>12</v>
      </c>
      <c r="BE54" s="51"/>
      <c r="BF54" s="51"/>
      <c r="BG54" s="52">
        <f t="shared" si="44"/>
        <v>0</v>
      </c>
      <c r="BH54" s="62">
        <v>378</v>
      </c>
      <c r="BI54" s="51"/>
      <c r="BJ54" s="52">
        <f t="shared" si="45"/>
        <v>378</v>
      </c>
      <c r="BK54" s="51"/>
      <c r="BL54" s="51"/>
      <c r="BM54" s="52">
        <f t="shared" si="46"/>
        <v>0</v>
      </c>
      <c r="BN54" s="62">
        <v>455.04</v>
      </c>
      <c r="BO54" s="51"/>
      <c r="BP54" s="52">
        <f t="shared" si="47"/>
        <v>455.04</v>
      </c>
      <c r="BQ54" s="51"/>
      <c r="BR54" s="51"/>
      <c r="BS54" s="52">
        <f t="shared" si="48"/>
        <v>0</v>
      </c>
      <c r="BT54" s="62">
        <v>450.56</v>
      </c>
      <c r="BU54" s="51"/>
      <c r="BV54" s="52">
        <f t="shared" si="49"/>
        <v>450.56</v>
      </c>
      <c r="BW54" s="36">
        <f t="shared" si="23"/>
        <v>0</v>
      </c>
      <c r="BX54" s="36">
        <f t="shared" si="23"/>
        <v>0</v>
      </c>
      <c r="BY54" s="36">
        <f t="shared" si="24"/>
        <v>0</v>
      </c>
      <c r="BZ54" s="36">
        <f t="shared" si="25"/>
        <v>1295.5999999999999</v>
      </c>
      <c r="CA54" s="36">
        <f t="shared" si="25"/>
        <v>0</v>
      </c>
      <c r="CB54" s="36">
        <f t="shared" si="26"/>
        <v>1295.5999999999999</v>
      </c>
    </row>
    <row r="55" spans="1:80" ht="25.5" outlineLevel="1" x14ac:dyDescent="0.2">
      <c r="A55" s="33">
        <v>135</v>
      </c>
      <c r="B55" s="49" t="s">
        <v>74</v>
      </c>
      <c r="C55" s="51"/>
      <c r="D55" s="51"/>
      <c r="E55" s="52">
        <f t="shared" si="22"/>
        <v>0</v>
      </c>
      <c r="F55" s="51"/>
      <c r="G55" s="51"/>
      <c r="H55" s="52">
        <f t="shared" si="28"/>
        <v>0</v>
      </c>
      <c r="I55" s="51"/>
      <c r="J55" s="51"/>
      <c r="K55" s="52">
        <f t="shared" si="29"/>
        <v>0</v>
      </c>
      <c r="L55" s="51"/>
      <c r="M55" s="51"/>
      <c r="N55" s="52">
        <f t="shared" si="50"/>
        <v>0</v>
      </c>
      <c r="O55" s="51"/>
      <c r="P55" s="51"/>
      <c r="Q55" s="52">
        <f t="shared" si="30"/>
        <v>0</v>
      </c>
      <c r="R55" s="51"/>
      <c r="S55" s="51"/>
      <c r="T55" s="52">
        <f t="shared" si="31"/>
        <v>0</v>
      </c>
      <c r="U55" s="51"/>
      <c r="V55" s="51"/>
      <c r="W55" s="52">
        <f t="shared" si="32"/>
        <v>0</v>
      </c>
      <c r="X55" s="51"/>
      <c r="Y55" s="51"/>
      <c r="Z55" s="52">
        <f t="shared" si="33"/>
        <v>0</v>
      </c>
      <c r="AA55" s="51"/>
      <c r="AB55" s="51"/>
      <c r="AC55" s="52">
        <f t="shared" si="34"/>
        <v>0</v>
      </c>
      <c r="AD55" s="51"/>
      <c r="AE55" s="51"/>
      <c r="AF55" s="52">
        <f t="shared" si="35"/>
        <v>0</v>
      </c>
      <c r="AG55" s="51"/>
      <c r="AH55" s="51"/>
      <c r="AI55" s="52">
        <f t="shared" si="36"/>
        <v>0</v>
      </c>
      <c r="AJ55" s="51"/>
      <c r="AK55" s="51"/>
      <c r="AL55" s="52">
        <f t="shared" si="37"/>
        <v>0</v>
      </c>
      <c r="AM55" s="51"/>
      <c r="AN55" s="51"/>
      <c r="AO55" s="52">
        <f t="shared" si="38"/>
        <v>0</v>
      </c>
      <c r="AP55" s="51"/>
      <c r="AQ55" s="51"/>
      <c r="AR55" s="52">
        <f t="shared" si="39"/>
        <v>0</v>
      </c>
      <c r="AS55" s="51"/>
      <c r="AT55" s="51"/>
      <c r="AU55" s="52">
        <f t="shared" si="40"/>
        <v>0</v>
      </c>
      <c r="AV55" s="51"/>
      <c r="AW55" s="51"/>
      <c r="AX55" s="52">
        <f t="shared" si="41"/>
        <v>0</v>
      </c>
      <c r="AY55" s="51"/>
      <c r="AZ55" s="51"/>
      <c r="BA55" s="52">
        <f t="shared" si="42"/>
        <v>0</v>
      </c>
      <c r="BB55" s="51"/>
      <c r="BC55" s="51"/>
      <c r="BD55" s="52">
        <f t="shared" si="43"/>
        <v>0</v>
      </c>
      <c r="BE55" s="51"/>
      <c r="BF55" s="51"/>
      <c r="BG55" s="52">
        <f t="shared" si="44"/>
        <v>0</v>
      </c>
      <c r="BH55" s="51"/>
      <c r="BI55" s="51"/>
      <c r="BJ55" s="52">
        <f t="shared" si="45"/>
        <v>0</v>
      </c>
      <c r="BK55" s="51"/>
      <c r="BL55" s="51"/>
      <c r="BM55" s="52">
        <f t="shared" si="46"/>
        <v>0</v>
      </c>
      <c r="BN55" s="51"/>
      <c r="BO55" s="51"/>
      <c r="BP55" s="52">
        <f t="shared" si="47"/>
        <v>0</v>
      </c>
      <c r="BQ55" s="51"/>
      <c r="BR55" s="51"/>
      <c r="BS55" s="52">
        <f t="shared" si="48"/>
        <v>0</v>
      </c>
      <c r="BT55" s="51"/>
      <c r="BU55" s="51"/>
      <c r="BV55" s="52">
        <f t="shared" si="49"/>
        <v>0</v>
      </c>
      <c r="BW55" s="36">
        <f t="shared" si="23"/>
        <v>0</v>
      </c>
      <c r="BX55" s="36">
        <f t="shared" si="23"/>
        <v>0</v>
      </c>
      <c r="BY55" s="36">
        <f t="shared" si="24"/>
        <v>0</v>
      </c>
      <c r="BZ55" s="36">
        <f t="shared" si="25"/>
        <v>0</v>
      </c>
      <c r="CA55" s="36">
        <f t="shared" si="25"/>
        <v>0</v>
      </c>
      <c r="CB55" s="36">
        <f t="shared" si="26"/>
        <v>0</v>
      </c>
    </row>
    <row r="56" spans="1:80" outlineLevel="1" x14ac:dyDescent="0.2">
      <c r="A56" s="33">
        <v>136</v>
      </c>
      <c r="B56" s="49" t="s">
        <v>75</v>
      </c>
      <c r="C56" s="51"/>
      <c r="D56" s="51"/>
      <c r="E56" s="52">
        <f t="shared" si="22"/>
        <v>0</v>
      </c>
      <c r="F56" s="51"/>
      <c r="G56" s="51"/>
      <c r="H56" s="52">
        <f t="shared" si="28"/>
        <v>0</v>
      </c>
      <c r="I56" s="51"/>
      <c r="J56" s="51"/>
      <c r="K56" s="52">
        <f t="shared" si="29"/>
        <v>0</v>
      </c>
      <c r="L56" s="51"/>
      <c r="M56" s="51"/>
      <c r="N56" s="52">
        <f t="shared" si="50"/>
        <v>0</v>
      </c>
      <c r="O56" s="51"/>
      <c r="P56" s="51"/>
      <c r="Q56" s="52">
        <f t="shared" si="30"/>
        <v>0</v>
      </c>
      <c r="R56" s="51"/>
      <c r="S56" s="51"/>
      <c r="T56" s="52">
        <f t="shared" si="31"/>
        <v>0</v>
      </c>
      <c r="U56" s="51"/>
      <c r="V56" s="51"/>
      <c r="W56" s="52">
        <f t="shared" si="32"/>
        <v>0</v>
      </c>
      <c r="X56" s="51"/>
      <c r="Y56" s="51"/>
      <c r="Z56" s="52">
        <f t="shared" si="33"/>
        <v>0</v>
      </c>
      <c r="AA56" s="51"/>
      <c r="AB56" s="51"/>
      <c r="AC56" s="52">
        <f t="shared" si="34"/>
        <v>0</v>
      </c>
      <c r="AD56" s="51"/>
      <c r="AE56" s="51"/>
      <c r="AF56" s="52">
        <f t="shared" si="35"/>
        <v>0</v>
      </c>
      <c r="AG56" s="51"/>
      <c r="AH56" s="51"/>
      <c r="AI56" s="52">
        <f t="shared" si="36"/>
        <v>0</v>
      </c>
      <c r="AJ56" s="51"/>
      <c r="AK56" s="51"/>
      <c r="AL56" s="52">
        <f t="shared" si="37"/>
        <v>0</v>
      </c>
      <c r="AM56" s="51"/>
      <c r="AN56" s="51"/>
      <c r="AO56" s="52">
        <f t="shared" si="38"/>
        <v>0</v>
      </c>
      <c r="AP56" s="51"/>
      <c r="AQ56" s="51"/>
      <c r="AR56" s="52">
        <f t="shared" si="39"/>
        <v>0</v>
      </c>
      <c r="AS56" s="51"/>
      <c r="AT56" s="51"/>
      <c r="AU56" s="52">
        <f t="shared" si="40"/>
        <v>0</v>
      </c>
      <c r="AV56" s="51"/>
      <c r="AW56" s="51"/>
      <c r="AX56" s="52">
        <f t="shared" si="41"/>
        <v>0</v>
      </c>
      <c r="AY56" s="51"/>
      <c r="AZ56" s="51"/>
      <c r="BA56" s="52">
        <f t="shared" si="42"/>
        <v>0</v>
      </c>
      <c r="BB56" s="51"/>
      <c r="BC56" s="51"/>
      <c r="BD56" s="52">
        <f t="shared" si="43"/>
        <v>0</v>
      </c>
      <c r="BE56" s="51"/>
      <c r="BF56" s="51"/>
      <c r="BG56" s="52">
        <f t="shared" si="44"/>
        <v>0</v>
      </c>
      <c r="BH56" s="51"/>
      <c r="BI56" s="51"/>
      <c r="BJ56" s="52">
        <f t="shared" si="45"/>
        <v>0</v>
      </c>
      <c r="BK56" s="51"/>
      <c r="BL56" s="51"/>
      <c r="BM56" s="52">
        <f t="shared" si="46"/>
        <v>0</v>
      </c>
      <c r="BN56" s="51"/>
      <c r="BO56" s="51"/>
      <c r="BP56" s="52">
        <f t="shared" si="47"/>
        <v>0</v>
      </c>
      <c r="BQ56" s="51"/>
      <c r="BR56" s="51"/>
      <c r="BS56" s="52">
        <f t="shared" si="48"/>
        <v>0</v>
      </c>
      <c r="BT56" s="51"/>
      <c r="BU56" s="51"/>
      <c r="BV56" s="52">
        <f t="shared" si="49"/>
        <v>0</v>
      </c>
      <c r="BW56" s="36">
        <f t="shared" si="23"/>
        <v>0</v>
      </c>
      <c r="BX56" s="36">
        <f t="shared" si="23"/>
        <v>0</v>
      </c>
      <c r="BY56" s="36">
        <f t="shared" si="24"/>
        <v>0</v>
      </c>
      <c r="BZ56" s="36">
        <f t="shared" si="25"/>
        <v>0</v>
      </c>
      <c r="CA56" s="36">
        <f t="shared" si="25"/>
        <v>0</v>
      </c>
      <c r="CB56" s="36">
        <f t="shared" si="26"/>
        <v>0</v>
      </c>
    </row>
    <row r="57" spans="1:80" outlineLevel="1" x14ac:dyDescent="0.2">
      <c r="A57" s="33">
        <v>136</v>
      </c>
      <c r="B57" s="49" t="s">
        <v>76</v>
      </c>
      <c r="C57" s="51"/>
      <c r="D57" s="51"/>
      <c r="E57" s="52">
        <f t="shared" si="22"/>
        <v>0</v>
      </c>
      <c r="F57" s="51"/>
      <c r="G57" s="51"/>
      <c r="H57" s="52">
        <f t="shared" si="28"/>
        <v>0</v>
      </c>
      <c r="I57" s="51"/>
      <c r="J57" s="51"/>
      <c r="K57" s="52">
        <f t="shared" si="29"/>
        <v>0</v>
      </c>
      <c r="L57" s="51"/>
      <c r="M57" s="51"/>
      <c r="N57" s="52">
        <f t="shared" si="50"/>
        <v>0</v>
      </c>
      <c r="O57" s="51"/>
      <c r="P57" s="51"/>
      <c r="Q57" s="52">
        <f t="shared" si="30"/>
        <v>0</v>
      </c>
      <c r="R57" s="51"/>
      <c r="S57" s="51"/>
      <c r="T57" s="52">
        <f t="shared" si="31"/>
        <v>0</v>
      </c>
      <c r="U57" s="51"/>
      <c r="V57" s="51"/>
      <c r="W57" s="52">
        <f t="shared" si="32"/>
        <v>0</v>
      </c>
      <c r="X57" s="51"/>
      <c r="Y57" s="51"/>
      <c r="Z57" s="52">
        <f t="shared" si="33"/>
        <v>0</v>
      </c>
      <c r="AA57" s="51"/>
      <c r="AB57" s="51"/>
      <c r="AC57" s="52">
        <f t="shared" si="34"/>
        <v>0</v>
      </c>
      <c r="AD57" s="51"/>
      <c r="AE57" s="51"/>
      <c r="AF57" s="52">
        <f t="shared" si="35"/>
        <v>0</v>
      </c>
      <c r="AG57" s="51"/>
      <c r="AH57" s="51"/>
      <c r="AI57" s="52">
        <f t="shared" si="36"/>
        <v>0</v>
      </c>
      <c r="AJ57" s="51"/>
      <c r="AK57" s="51"/>
      <c r="AL57" s="52">
        <f t="shared" si="37"/>
        <v>0</v>
      </c>
      <c r="AM57" s="51"/>
      <c r="AN57" s="51"/>
      <c r="AO57" s="52">
        <f t="shared" si="38"/>
        <v>0</v>
      </c>
      <c r="AP57" s="51"/>
      <c r="AQ57" s="51">
        <f>2500</f>
        <v>2500</v>
      </c>
      <c r="AR57" s="52">
        <f t="shared" si="39"/>
        <v>2500</v>
      </c>
      <c r="AS57" s="51"/>
      <c r="AT57" s="51"/>
      <c r="AU57" s="52">
        <f t="shared" si="40"/>
        <v>0</v>
      </c>
      <c r="AV57" s="51"/>
      <c r="AW57" s="51">
        <f>700</f>
        <v>700</v>
      </c>
      <c r="AX57" s="52">
        <f t="shared" si="41"/>
        <v>700</v>
      </c>
      <c r="AY57" s="51"/>
      <c r="AZ57" s="51"/>
      <c r="BA57" s="52">
        <f t="shared" si="42"/>
        <v>0</v>
      </c>
      <c r="BB57" s="51"/>
      <c r="BC57" s="51">
        <v>3600</v>
      </c>
      <c r="BD57" s="52">
        <f t="shared" si="43"/>
        <v>3600</v>
      </c>
      <c r="BE57" s="51"/>
      <c r="BF57" s="51"/>
      <c r="BG57" s="52">
        <f t="shared" si="44"/>
        <v>0</v>
      </c>
      <c r="BH57" s="51"/>
      <c r="BI57" s="51"/>
      <c r="BJ57" s="52">
        <f t="shared" si="45"/>
        <v>0</v>
      </c>
      <c r="BK57" s="51"/>
      <c r="BL57" s="51"/>
      <c r="BM57" s="52">
        <f t="shared" si="46"/>
        <v>0</v>
      </c>
      <c r="BN57" s="51"/>
      <c r="BO57" s="51">
        <f>1416+349+2920</f>
        <v>4685</v>
      </c>
      <c r="BP57" s="52">
        <f t="shared" si="47"/>
        <v>4685</v>
      </c>
      <c r="BQ57" s="51"/>
      <c r="BR57" s="51"/>
      <c r="BS57" s="52">
        <f t="shared" si="48"/>
        <v>0</v>
      </c>
      <c r="BT57" s="51"/>
      <c r="BU57" s="51">
        <f>793</f>
        <v>793</v>
      </c>
      <c r="BV57" s="52">
        <f t="shared" si="49"/>
        <v>793</v>
      </c>
      <c r="BW57" s="36">
        <f t="shared" si="23"/>
        <v>0</v>
      </c>
      <c r="BX57" s="36">
        <f t="shared" si="23"/>
        <v>0</v>
      </c>
      <c r="BY57" s="36">
        <f t="shared" si="24"/>
        <v>0</v>
      </c>
      <c r="BZ57" s="36">
        <f t="shared" si="25"/>
        <v>0</v>
      </c>
      <c r="CA57" s="36">
        <f t="shared" si="25"/>
        <v>12278</v>
      </c>
      <c r="CB57" s="36">
        <f t="shared" si="26"/>
        <v>12278</v>
      </c>
    </row>
    <row r="58" spans="1:80" s="5" customFormat="1" outlineLevel="1" x14ac:dyDescent="0.2">
      <c r="A58" s="33">
        <v>221</v>
      </c>
      <c r="B58" s="49" t="s">
        <v>77</v>
      </c>
      <c r="C58" s="65">
        <f>C59+C60</f>
        <v>0</v>
      </c>
      <c r="D58" s="65">
        <f>D59+D60</f>
        <v>0</v>
      </c>
      <c r="E58" s="52">
        <f t="shared" si="22"/>
        <v>0</v>
      </c>
      <c r="F58" s="65">
        <f>F59+F60</f>
        <v>0</v>
      </c>
      <c r="G58" s="65">
        <f>G59+G60</f>
        <v>0</v>
      </c>
      <c r="H58" s="52">
        <f t="shared" si="28"/>
        <v>0</v>
      </c>
      <c r="I58" s="65">
        <f>I59+I60</f>
        <v>0</v>
      </c>
      <c r="J58" s="65">
        <f>J59+J60</f>
        <v>0</v>
      </c>
      <c r="K58" s="52">
        <f t="shared" si="29"/>
        <v>0</v>
      </c>
      <c r="L58" s="65">
        <f>L59+L60</f>
        <v>0</v>
      </c>
      <c r="M58" s="65">
        <f>M59+M60</f>
        <v>0</v>
      </c>
      <c r="N58" s="52">
        <f t="shared" si="50"/>
        <v>0</v>
      </c>
      <c r="O58" s="65">
        <f>O59+O60</f>
        <v>0</v>
      </c>
      <c r="P58" s="65">
        <f>P59+P60</f>
        <v>0</v>
      </c>
      <c r="Q58" s="52">
        <f t="shared" si="30"/>
        <v>0</v>
      </c>
      <c r="R58" s="65">
        <f>R59+R60</f>
        <v>0</v>
      </c>
      <c r="S58" s="65">
        <f>S59+S60</f>
        <v>0</v>
      </c>
      <c r="T58" s="52">
        <f t="shared" si="31"/>
        <v>0</v>
      </c>
      <c r="U58" s="65">
        <f>U59+U60</f>
        <v>0</v>
      </c>
      <c r="V58" s="65">
        <f>V59+V60</f>
        <v>0</v>
      </c>
      <c r="W58" s="52">
        <f t="shared" si="32"/>
        <v>0</v>
      </c>
      <c r="X58" s="65">
        <f>X59+X60</f>
        <v>0</v>
      </c>
      <c r="Y58" s="65">
        <f>Y59+Y60</f>
        <v>0</v>
      </c>
      <c r="Z58" s="52">
        <f t="shared" si="33"/>
        <v>0</v>
      </c>
      <c r="AA58" s="65">
        <f>AA59+AA60</f>
        <v>0</v>
      </c>
      <c r="AB58" s="65">
        <f>AB59+AB60</f>
        <v>0</v>
      </c>
      <c r="AC58" s="52">
        <f t="shared" si="34"/>
        <v>0</v>
      </c>
      <c r="AD58" s="65">
        <f>AD59+AD60</f>
        <v>0</v>
      </c>
      <c r="AE58" s="65">
        <f>AE59+AE60</f>
        <v>0</v>
      </c>
      <c r="AF58" s="52">
        <f t="shared" si="35"/>
        <v>0</v>
      </c>
      <c r="AG58" s="65">
        <f>AG59+AG60</f>
        <v>0</v>
      </c>
      <c r="AH58" s="65">
        <f>AH59+AH60</f>
        <v>0</v>
      </c>
      <c r="AI58" s="52">
        <f t="shared" si="36"/>
        <v>0</v>
      </c>
      <c r="AJ58" s="65">
        <f>AJ59+AJ60</f>
        <v>0</v>
      </c>
      <c r="AK58" s="65">
        <f>AK59+AK60</f>
        <v>0</v>
      </c>
      <c r="AL58" s="52">
        <f t="shared" si="37"/>
        <v>0</v>
      </c>
      <c r="AM58" s="65">
        <f>AM59+AM60</f>
        <v>0</v>
      </c>
      <c r="AN58" s="65">
        <f>AN59+AN60</f>
        <v>0</v>
      </c>
      <c r="AO58" s="52">
        <f t="shared" si="38"/>
        <v>0</v>
      </c>
      <c r="AP58" s="65">
        <f>AP59+AP60</f>
        <v>0</v>
      </c>
      <c r="AQ58" s="65">
        <f>AQ59+AQ60</f>
        <v>0</v>
      </c>
      <c r="AR58" s="52">
        <f t="shared" si="39"/>
        <v>0</v>
      </c>
      <c r="AS58" s="65">
        <f>AS59+AS60</f>
        <v>0</v>
      </c>
      <c r="AT58" s="65">
        <f>AT59+AT60</f>
        <v>0</v>
      </c>
      <c r="AU58" s="52">
        <f t="shared" si="40"/>
        <v>0</v>
      </c>
      <c r="AV58" s="65">
        <f>AV59+AV60</f>
        <v>0</v>
      </c>
      <c r="AW58" s="65">
        <f>AW59+AW60</f>
        <v>0</v>
      </c>
      <c r="AX58" s="52">
        <f t="shared" si="41"/>
        <v>0</v>
      </c>
      <c r="AY58" s="65">
        <f>AY59+AY60</f>
        <v>0</v>
      </c>
      <c r="AZ58" s="65">
        <f>AZ59+AZ60</f>
        <v>0</v>
      </c>
      <c r="BA58" s="52">
        <f t="shared" si="42"/>
        <v>0</v>
      </c>
      <c r="BB58" s="65">
        <f>BB59+BB60</f>
        <v>0</v>
      </c>
      <c r="BC58" s="65">
        <f>BC59+BC60</f>
        <v>0</v>
      </c>
      <c r="BD58" s="52">
        <f t="shared" si="43"/>
        <v>0</v>
      </c>
      <c r="BE58" s="65">
        <f>BE59+BE60</f>
        <v>0</v>
      </c>
      <c r="BF58" s="65">
        <f>BF59+BF60</f>
        <v>0</v>
      </c>
      <c r="BG58" s="52">
        <f t="shared" si="44"/>
        <v>0</v>
      </c>
      <c r="BH58" s="65">
        <f>BH59+BH60</f>
        <v>0</v>
      </c>
      <c r="BI58" s="65">
        <f>BI59+BI60</f>
        <v>0</v>
      </c>
      <c r="BJ58" s="52">
        <f t="shared" si="45"/>
        <v>0</v>
      </c>
      <c r="BK58" s="65">
        <f>BK59+BK60</f>
        <v>0</v>
      </c>
      <c r="BL58" s="65">
        <f>BL59+BL60</f>
        <v>0</v>
      </c>
      <c r="BM58" s="52">
        <f t="shared" si="46"/>
        <v>0</v>
      </c>
      <c r="BN58" s="65">
        <f>BN59+BN60</f>
        <v>0</v>
      </c>
      <c r="BO58" s="65">
        <f>BO59+BO60</f>
        <v>0</v>
      </c>
      <c r="BP58" s="52">
        <f t="shared" si="47"/>
        <v>0</v>
      </c>
      <c r="BQ58" s="65">
        <f>BQ59+BQ60</f>
        <v>0</v>
      </c>
      <c r="BR58" s="65">
        <f>BR59+BR60</f>
        <v>0</v>
      </c>
      <c r="BS58" s="52">
        <f t="shared" si="48"/>
        <v>0</v>
      </c>
      <c r="BT58" s="65">
        <f>BT59+BT60</f>
        <v>0</v>
      </c>
      <c r="BU58" s="65">
        <f>BU59+BU60</f>
        <v>0</v>
      </c>
      <c r="BV58" s="52">
        <f t="shared" si="49"/>
        <v>0</v>
      </c>
      <c r="BW58" s="36">
        <f>C58+I58+O58+U58+AA58+AG58+AM58+AS58+AY58+BE58+BK58+BQ58</f>
        <v>0</v>
      </c>
      <c r="BX58" s="36">
        <f>D58+J58+P58+V58+AB58+AH58+AN58+AT58+AZ58+BF58+BL58+BR58</f>
        <v>0</v>
      </c>
      <c r="BY58" s="36">
        <f t="shared" si="24"/>
        <v>0</v>
      </c>
      <c r="BZ58" s="36">
        <f>F58+L58+R58+X58+AD58+AJ58+AP58+AV58+BB58+BH58+BN58+BT58</f>
        <v>0</v>
      </c>
      <c r="CA58" s="36">
        <f>G58+M58+S58+Y58+AE58+AK58+AQ58+AW58+BC58+BI58+BO58+BU58</f>
        <v>0</v>
      </c>
      <c r="CB58" s="36">
        <f t="shared" si="26"/>
        <v>0</v>
      </c>
    </row>
    <row r="59" spans="1:80" s="44" customFormat="1" ht="12" outlineLevel="2" x14ac:dyDescent="0.2">
      <c r="A59" s="73" t="s">
        <v>78</v>
      </c>
      <c r="B59" s="66" t="s">
        <v>79</v>
      </c>
      <c r="C59" s="67"/>
      <c r="D59" s="67"/>
      <c r="E59" s="60">
        <f t="shared" si="22"/>
        <v>0</v>
      </c>
      <c r="F59" s="67"/>
      <c r="G59" s="67"/>
      <c r="H59" s="60">
        <f t="shared" si="28"/>
        <v>0</v>
      </c>
      <c r="I59" s="67"/>
      <c r="J59" s="67"/>
      <c r="K59" s="60">
        <f t="shared" si="29"/>
        <v>0</v>
      </c>
      <c r="L59" s="67"/>
      <c r="M59" s="67"/>
      <c r="N59" s="60">
        <f t="shared" si="50"/>
        <v>0</v>
      </c>
      <c r="O59" s="67"/>
      <c r="P59" s="67"/>
      <c r="Q59" s="60">
        <f t="shared" si="30"/>
        <v>0</v>
      </c>
      <c r="R59" s="67"/>
      <c r="S59" s="67"/>
      <c r="T59" s="60">
        <f t="shared" si="31"/>
        <v>0</v>
      </c>
      <c r="U59" s="67"/>
      <c r="V59" s="67"/>
      <c r="W59" s="60">
        <f t="shared" si="32"/>
        <v>0</v>
      </c>
      <c r="X59" s="67"/>
      <c r="Y59" s="67"/>
      <c r="Z59" s="60">
        <f t="shared" si="33"/>
        <v>0</v>
      </c>
      <c r="AA59" s="67"/>
      <c r="AB59" s="67"/>
      <c r="AC59" s="60">
        <f t="shared" si="34"/>
        <v>0</v>
      </c>
      <c r="AD59" s="67"/>
      <c r="AE59" s="67"/>
      <c r="AF59" s="60">
        <f t="shared" si="35"/>
        <v>0</v>
      </c>
      <c r="AG59" s="67"/>
      <c r="AH59" s="67"/>
      <c r="AI59" s="60">
        <f t="shared" si="36"/>
        <v>0</v>
      </c>
      <c r="AJ59" s="67"/>
      <c r="AK59" s="67"/>
      <c r="AL59" s="60">
        <f t="shared" si="37"/>
        <v>0</v>
      </c>
      <c r="AM59" s="67"/>
      <c r="AN59" s="67"/>
      <c r="AO59" s="60">
        <f t="shared" si="38"/>
        <v>0</v>
      </c>
      <c r="AP59" s="67"/>
      <c r="AQ59" s="67"/>
      <c r="AR59" s="60">
        <f t="shared" si="39"/>
        <v>0</v>
      </c>
      <c r="AS59" s="67"/>
      <c r="AT59" s="67"/>
      <c r="AU59" s="60">
        <f t="shared" si="40"/>
        <v>0</v>
      </c>
      <c r="AV59" s="67"/>
      <c r="AW59" s="67"/>
      <c r="AX59" s="60">
        <f t="shared" si="41"/>
        <v>0</v>
      </c>
      <c r="AY59" s="67"/>
      <c r="AZ59" s="67"/>
      <c r="BA59" s="60">
        <f t="shared" si="42"/>
        <v>0</v>
      </c>
      <c r="BB59" s="67"/>
      <c r="BC59" s="67"/>
      <c r="BD59" s="60">
        <f t="shared" si="43"/>
        <v>0</v>
      </c>
      <c r="BE59" s="67"/>
      <c r="BF59" s="67"/>
      <c r="BG59" s="60">
        <f t="shared" si="44"/>
        <v>0</v>
      </c>
      <c r="BH59" s="67"/>
      <c r="BI59" s="67"/>
      <c r="BJ59" s="60">
        <f t="shared" si="45"/>
        <v>0</v>
      </c>
      <c r="BK59" s="67"/>
      <c r="BL59" s="67"/>
      <c r="BM59" s="60">
        <f t="shared" si="46"/>
        <v>0</v>
      </c>
      <c r="BN59" s="67"/>
      <c r="BO59" s="67"/>
      <c r="BP59" s="60">
        <f t="shared" si="47"/>
        <v>0</v>
      </c>
      <c r="BQ59" s="67"/>
      <c r="BR59" s="67"/>
      <c r="BS59" s="60">
        <f t="shared" si="48"/>
        <v>0</v>
      </c>
      <c r="BT59" s="67"/>
      <c r="BU59" s="67"/>
      <c r="BV59" s="60">
        <f t="shared" si="49"/>
        <v>0</v>
      </c>
      <c r="BW59" s="43">
        <f t="shared" si="23"/>
        <v>0</v>
      </c>
      <c r="BX59" s="43">
        <f t="shared" si="23"/>
        <v>0</v>
      </c>
      <c r="BY59" s="43">
        <f t="shared" si="24"/>
        <v>0</v>
      </c>
      <c r="BZ59" s="43">
        <f t="shared" si="25"/>
        <v>0</v>
      </c>
      <c r="CA59" s="43">
        <f t="shared" si="25"/>
        <v>0</v>
      </c>
      <c r="CB59" s="43">
        <f t="shared" si="26"/>
        <v>0</v>
      </c>
    </row>
    <row r="60" spans="1:80" s="44" customFormat="1" ht="12" outlineLevel="2" x14ac:dyDescent="0.2">
      <c r="A60" s="73" t="s">
        <v>80</v>
      </c>
      <c r="B60" s="66" t="s">
        <v>81</v>
      </c>
      <c r="C60" s="67"/>
      <c r="D60" s="67"/>
      <c r="E60" s="60">
        <f t="shared" si="22"/>
        <v>0</v>
      </c>
      <c r="F60" s="67"/>
      <c r="G60" s="67"/>
      <c r="H60" s="60">
        <f t="shared" si="28"/>
        <v>0</v>
      </c>
      <c r="I60" s="67"/>
      <c r="J60" s="67"/>
      <c r="K60" s="60">
        <f t="shared" si="29"/>
        <v>0</v>
      </c>
      <c r="L60" s="67"/>
      <c r="M60" s="67"/>
      <c r="N60" s="60">
        <f t="shared" si="50"/>
        <v>0</v>
      </c>
      <c r="O60" s="67"/>
      <c r="P60" s="67"/>
      <c r="Q60" s="60">
        <f t="shared" si="30"/>
        <v>0</v>
      </c>
      <c r="R60" s="67"/>
      <c r="S60" s="67"/>
      <c r="T60" s="60">
        <f t="shared" si="31"/>
        <v>0</v>
      </c>
      <c r="U60" s="67"/>
      <c r="V60" s="67"/>
      <c r="W60" s="60">
        <f t="shared" si="32"/>
        <v>0</v>
      </c>
      <c r="X60" s="67"/>
      <c r="Y60" s="67"/>
      <c r="Z60" s="60">
        <f t="shared" si="33"/>
        <v>0</v>
      </c>
      <c r="AA60" s="67"/>
      <c r="AB60" s="67"/>
      <c r="AC60" s="60">
        <f t="shared" si="34"/>
        <v>0</v>
      </c>
      <c r="AD60" s="67"/>
      <c r="AE60" s="67"/>
      <c r="AF60" s="60">
        <f t="shared" si="35"/>
        <v>0</v>
      </c>
      <c r="AG60" s="67"/>
      <c r="AH60" s="67"/>
      <c r="AI60" s="60">
        <f t="shared" si="36"/>
        <v>0</v>
      </c>
      <c r="AJ60" s="67"/>
      <c r="AK60" s="67"/>
      <c r="AL60" s="60">
        <f t="shared" si="37"/>
        <v>0</v>
      </c>
      <c r="AM60" s="67"/>
      <c r="AN60" s="67"/>
      <c r="AO60" s="60">
        <f t="shared" si="38"/>
        <v>0</v>
      </c>
      <c r="AP60" s="67"/>
      <c r="AQ60" s="67"/>
      <c r="AR60" s="60">
        <f t="shared" si="39"/>
        <v>0</v>
      </c>
      <c r="AS60" s="67"/>
      <c r="AT60" s="67"/>
      <c r="AU60" s="60">
        <f t="shared" si="40"/>
        <v>0</v>
      </c>
      <c r="AV60" s="67"/>
      <c r="AW60" s="67"/>
      <c r="AX60" s="60">
        <f t="shared" si="41"/>
        <v>0</v>
      </c>
      <c r="AY60" s="67"/>
      <c r="AZ60" s="67"/>
      <c r="BA60" s="60">
        <f t="shared" si="42"/>
        <v>0</v>
      </c>
      <c r="BB60" s="67"/>
      <c r="BC60" s="67"/>
      <c r="BD60" s="60">
        <f t="shared" si="43"/>
        <v>0</v>
      </c>
      <c r="BE60" s="67"/>
      <c r="BF60" s="67"/>
      <c r="BG60" s="60">
        <f t="shared" si="44"/>
        <v>0</v>
      </c>
      <c r="BH60" s="67"/>
      <c r="BI60" s="67"/>
      <c r="BJ60" s="60">
        <f t="shared" si="45"/>
        <v>0</v>
      </c>
      <c r="BK60" s="67"/>
      <c r="BL60" s="67"/>
      <c r="BM60" s="60">
        <f t="shared" si="46"/>
        <v>0</v>
      </c>
      <c r="BN60" s="67"/>
      <c r="BO60" s="67"/>
      <c r="BP60" s="60">
        <f t="shared" si="47"/>
        <v>0</v>
      </c>
      <c r="BQ60" s="67"/>
      <c r="BR60" s="67"/>
      <c r="BS60" s="60">
        <f t="shared" si="48"/>
        <v>0</v>
      </c>
      <c r="BT60" s="67"/>
      <c r="BU60" s="67"/>
      <c r="BV60" s="60">
        <f t="shared" si="49"/>
        <v>0</v>
      </c>
      <c r="BW60" s="43">
        <f t="shared" si="23"/>
        <v>0</v>
      </c>
      <c r="BX60" s="43">
        <f t="shared" si="23"/>
        <v>0</v>
      </c>
      <c r="BY60" s="43">
        <f t="shared" si="24"/>
        <v>0</v>
      </c>
      <c r="BZ60" s="43">
        <f t="shared" si="25"/>
        <v>0</v>
      </c>
      <c r="CA60" s="43">
        <f t="shared" si="25"/>
        <v>0</v>
      </c>
      <c r="CB60" s="43">
        <f t="shared" si="26"/>
        <v>0</v>
      </c>
    </row>
    <row r="61" spans="1:80" outlineLevel="1" x14ac:dyDescent="0.2">
      <c r="A61" s="33">
        <v>222</v>
      </c>
      <c r="B61" s="49" t="s">
        <v>39</v>
      </c>
      <c r="C61" s="51"/>
      <c r="D61" s="51"/>
      <c r="E61" s="52">
        <f t="shared" si="22"/>
        <v>0</v>
      </c>
      <c r="F61" s="51"/>
      <c r="G61" s="51"/>
      <c r="H61" s="52">
        <f t="shared" si="28"/>
        <v>0</v>
      </c>
      <c r="I61" s="51"/>
      <c r="J61" s="51"/>
      <c r="K61" s="52">
        <f t="shared" si="29"/>
        <v>0</v>
      </c>
      <c r="L61" s="51"/>
      <c r="M61" s="51"/>
      <c r="N61" s="52">
        <f t="shared" si="50"/>
        <v>0</v>
      </c>
      <c r="O61" s="51"/>
      <c r="P61" s="51"/>
      <c r="Q61" s="52">
        <f t="shared" si="30"/>
        <v>0</v>
      </c>
      <c r="R61" s="51"/>
      <c r="S61" s="51"/>
      <c r="T61" s="52">
        <f t="shared" si="31"/>
        <v>0</v>
      </c>
      <c r="U61" s="51"/>
      <c r="V61" s="51"/>
      <c r="W61" s="52">
        <f t="shared" si="32"/>
        <v>0</v>
      </c>
      <c r="X61" s="51"/>
      <c r="Y61" s="51"/>
      <c r="Z61" s="52">
        <f t="shared" si="33"/>
        <v>0</v>
      </c>
      <c r="AA61" s="51"/>
      <c r="AB61" s="51"/>
      <c r="AC61" s="52">
        <f t="shared" si="34"/>
        <v>0</v>
      </c>
      <c r="AD61" s="51"/>
      <c r="AE61" s="51"/>
      <c r="AF61" s="52">
        <f t="shared" si="35"/>
        <v>0</v>
      </c>
      <c r="AG61" s="51"/>
      <c r="AH61" s="51"/>
      <c r="AI61" s="52">
        <f t="shared" si="36"/>
        <v>0</v>
      </c>
      <c r="AJ61" s="51"/>
      <c r="AK61" s="51"/>
      <c r="AL61" s="52">
        <f t="shared" si="37"/>
        <v>0</v>
      </c>
      <c r="AM61" s="51"/>
      <c r="AN61" s="51"/>
      <c r="AO61" s="52">
        <f t="shared" si="38"/>
        <v>0</v>
      </c>
      <c r="AP61" s="51"/>
      <c r="AQ61" s="51"/>
      <c r="AR61" s="52">
        <f t="shared" si="39"/>
        <v>0</v>
      </c>
      <c r="AS61" s="51"/>
      <c r="AT61" s="51"/>
      <c r="AU61" s="52">
        <f t="shared" si="40"/>
        <v>0</v>
      </c>
      <c r="AV61" s="51"/>
      <c r="AW61" s="51"/>
      <c r="AX61" s="52">
        <f t="shared" si="41"/>
        <v>0</v>
      </c>
      <c r="AY61" s="51"/>
      <c r="AZ61" s="51"/>
      <c r="BA61" s="52">
        <f t="shared" si="42"/>
        <v>0</v>
      </c>
      <c r="BB61" s="51"/>
      <c r="BC61" s="51">
        <v>66700</v>
      </c>
      <c r="BD61" s="52">
        <f t="shared" si="43"/>
        <v>66700</v>
      </c>
      <c r="BE61" s="51"/>
      <c r="BF61" s="51"/>
      <c r="BG61" s="52">
        <f t="shared" si="44"/>
        <v>0</v>
      </c>
      <c r="BH61" s="51"/>
      <c r="BI61" s="51">
        <v>49242</v>
      </c>
      <c r="BJ61" s="52">
        <f t="shared" si="45"/>
        <v>49242</v>
      </c>
      <c r="BK61" s="51"/>
      <c r="BL61" s="51"/>
      <c r="BM61" s="52">
        <f t="shared" si="46"/>
        <v>0</v>
      </c>
      <c r="BN61" s="51"/>
      <c r="BO61" s="51"/>
      <c r="BP61" s="52">
        <f t="shared" si="47"/>
        <v>0</v>
      </c>
      <c r="BQ61" s="51"/>
      <c r="BR61" s="51"/>
      <c r="BS61" s="52">
        <f t="shared" si="48"/>
        <v>0</v>
      </c>
      <c r="BT61" s="51"/>
      <c r="BU61" s="51"/>
      <c r="BV61" s="52">
        <f t="shared" si="49"/>
        <v>0</v>
      </c>
      <c r="BW61" s="36">
        <f t="shared" si="23"/>
        <v>0</v>
      </c>
      <c r="BX61" s="36">
        <f t="shared" si="23"/>
        <v>0</v>
      </c>
      <c r="BY61" s="36">
        <f t="shared" si="24"/>
        <v>0</v>
      </c>
      <c r="BZ61" s="36">
        <f t="shared" si="25"/>
        <v>0</v>
      </c>
      <c r="CA61" s="36">
        <f t="shared" si="25"/>
        <v>115942</v>
      </c>
      <c r="CB61" s="36">
        <f t="shared" si="26"/>
        <v>115942</v>
      </c>
    </row>
    <row r="62" spans="1:80" s="44" customFormat="1" ht="24" outlineLevel="1" x14ac:dyDescent="0.2">
      <c r="A62" s="38"/>
      <c r="B62" s="39" t="s">
        <v>82</v>
      </c>
      <c r="C62" s="63"/>
      <c r="D62" s="63"/>
      <c r="E62" s="60">
        <f t="shared" si="22"/>
        <v>0</v>
      </c>
      <c r="F62" s="63"/>
      <c r="G62" s="63"/>
      <c r="H62" s="60">
        <f t="shared" si="28"/>
        <v>0</v>
      </c>
      <c r="I62" s="63"/>
      <c r="J62" s="63"/>
      <c r="K62" s="60">
        <f t="shared" si="29"/>
        <v>0</v>
      </c>
      <c r="L62" s="63"/>
      <c r="M62" s="63"/>
      <c r="N62" s="60">
        <f t="shared" si="50"/>
        <v>0</v>
      </c>
      <c r="O62" s="63"/>
      <c r="P62" s="63"/>
      <c r="Q62" s="60">
        <f t="shared" si="30"/>
        <v>0</v>
      </c>
      <c r="R62" s="63"/>
      <c r="S62" s="63"/>
      <c r="T62" s="60">
        <f t="shared" si="31"/>
        <v>0</v>
      </c>
      <c r="U62" s="63"/>
      <c r="V62" s="63"/>
      <c r="W62" s="60">
        <f t="shared" si="32"/>
        <v>0</v>
      </c>
      <c r="X62" s="63"/>
      <c r="Y62" s="63"/>
      <c r="Z62" s="60">
        <f t="shared" si="33"/>
        <v>0</v>
      </c>
      <c r="AA62" s="63"/>
      <c r="AB62" s="63"/>
      <c r="AC62" s="60">
        <f t="shared" si="34"/>
        <v>0</v>
      </c>
      <c r="AD62" s="63"/>
      <c r="AE62" s="63"/>
      <c r="AF62" s="60">
        <f t="shared" si="35"/>
        <v>0</v>
      </c>
      <c r="AG62" s="63"/>
      <c r="AH62" s="63"/>
      <c r="AI62" s="60">
        <f t="shared" si="36"/>
        <v>0</v>
      </c>
      <c r="AJ62" s="63"/>
      <c r="AK62" s="63"/>
      <c r="AL62" s="60">
        <f t="shared" si="37"/>
        <v>0</v>
      </c>
      <c r="AM62" s="63"/>
      <c r="AN62" s="63"/>
      <c r="AO62" s="60">
        <f t="shared" si="38"/>
        <v>0</v>
      </c>
      <c r="AP62" s="63"/>
      <c r="AQ62" s="63"/>
      <c r="AR62" s="60">
        <f t="shared" si="39"/>
        <v>0</v>
      </c>
      <c r="AS62" s="63"/>
      <c r="AT62" s="63"/>
      <c r="AU62" s="60">
        <f t="shared" si="40"/>
        <v>0</v>
      </c>
      <c r="AV62" s="63"/>
      <c r="AW62" s="63"/>
      <c r="AX62" s="60">
        <f t="shared" si="41"/>
        <v>0</v>
      </c>
      <c r="AY62" s="63"/>
      <c r="AZ62" s="63"/>
      <c r="BA62" s="60">
        <f t="shared" si="42"/>
        <v>0</v>
      </c>
      <c r="BB62" s="63"/>
      <c r="BC62" s="63"/>
      <c r="BD62" s="60">
        <f t="shared" si="43"/>
        <v>0</v>
      </c>
      <c r="BE62" s="63"/>
      <c r="BF62" s="63"/>
      <c r="BG62" s="60">
        <f t="shared" si="44"/>
        <v>0</v>
      </c>
      <c r="BH62" s="63"/>
      <c r="BI62" s="63"/>
      <c r="BJ62" s="60">
        <f t="shared" si="45"/>
        <v>0</v>
      </c>
      <c r="BK62" s="63"/>
      <c r="BL62" s="63"/>
      <c r="BM62" s="60">
        <f t="shared" si="46"/>
        <v>0</v>
      </c>
      <c r="BN62" s="63"/>
      <c r="BO62" s="63"/>
      <c r="BP62" s="60">
        <f t="shared" si="47"/>
        <v>0</v>
      </c>
      <c r="BQ62" s="63"/>
      <c r="BR62" s="63"/>
      <c r="BS62" s="60">
        <f t="shared" si="48"/>
        <v>0</v>
      </c>
      <c r="BT62" s="63"/>
      <c r="BU62" s="63"/>
      <c r="BV62" s="60">
        <f t="shared" si="49"/>
        <v>0</v>
      </c>
      <c r="BW62" s="43">
        <f t="shared" si="23"/>
        <v>0</v>
      </c>
      <c r="BX62" s="43">
        <f t="shared" si="23"/>
        <v>0</v>
      </c>
      <c r="BY62" s="43">
        <f t="shared" si="24"/>
        <v>0</v>
      </c>
      <c r="BZ62" s="43">
        <f t="shared" si="25"/>
        <v>0</v>
      </c>
      <c r="CA62" s="43">
        <f t="shared" si="25"/>
        <v>0</v>
      </c>
      <c r="CB62" s="43">
        <f t="shared" si="26"/>
        <v>0</v>
      </c>
    </row>
    <row r="63" spans="1:80" outlineLevel="1" x14ac:dyDescent="0.2">
      <c r="A63" s="33">
        <v>223</v>
      </c>
      <c r="B63" s="49" t="s">
        <v>83</v>
      </c>
      <c r="C63" s="51"/>
      <c r="D63" s="51"/>
      <c r="E63" s="52">
        <f t="shared" si="22"/>
        <v>0</v>
      </c>
      <c r="F63" s="51"/>
      <c r="G63" s="51"/>
      <c r="H63" s="52">
        <f t="shared" si="28"/>
        <v>0</v>
      </c>
      <c r="I63" s="51"/>
      <c r="J63" s="51"/>
      <c r="K63" s="52">
        <f t="shared" si="29"/>
        <v>0</v>
      </c>
      <c r="L63" s="51"/>
      <c r="M63" s="51"/>
      <c r="N63" s="52">
        <f t="shared" si="50"/>
        <v>0</v>
      </c>
      <c r="O63" s="51"/>
      <c r="P63" s="51"/>
      <c r="Q63" s="52">
        <f t="shared" si="30"/>
        <v>0</v>
      </c>
      <c r="R63" s="51"/>
      <c r="S63" s="51"/>
      <c r="T63" s="52">
        <f t="shared" si="31"/>
        <v>0</v>
      </c>
      <c r="U63" s="51"/>
      <c r="V63" s="51"/>
      <c r="W63" s="52">
        <f t="shared" si="32"/>
        <v>0</v>
      </c>
      <c r="X63" s="51"/>
      <c r="Y63" s="51"/>
      <c r="Z63" s="52">
        <f t="shared" si="33"/>
        <v>0</v>
      </c>
      <c r="AA63" s="51"/>
      <c r="AB63" s="51"/>
      <c r="AC63" s="52">
        <f t="shared" si="34"/>
        <v>0</v>
      </c>
      <c r="AD63" s="51"/>
      <c r="AE63" s="51"/>
      <c r="AF63" s="52">
        <f t="shared" si="35"/>
        <v>0</v>
      </c>
      <c r="AG63" s="51"/>
      <c r="AH63" s="51"/>
      <c r="AI63" s="52">
        <f t="shared" si="36"/>
        <v>0</v>
      </c>
      <c r="AJ63" s="51"/>
      <c r="AK63" s="51"/>
      <c r="AL63" s="52">
        <f t="shared" si="37"/>
        <v>0</v>
      </c>
      <c r="AM63" s="51"/>
      <c r="AN63" s="51"/>
      <c r="AO63" s="52">
        <f t="shared" si="38"/>
        <v>0</v>
      </c>
      <c r="AP63" s="51"/>
      <c r="AQ63" s="51"/>
      <c r="AR63" s="52">
        <f t="shared" si="39"/>
        <v>0</v>
      </c>
      <c r="AS63" s="51"/>
      <c r="AT63" s="51"/>
      <c r="AU63" s="52">
        <f t="shared" si="40"/>
        <v>0</v>
      </c>
      <c r="AV63" s="51"/>
      <c r="AW63" s="51"/>
      <c r="AX63" s="52">
        <f t="shared" si="41"/>
        <v>0</v>
      </c>
      <c r="AY63" s="51"/>
      <c r="AZ63" s="51"/>
      <c r="BA63" s="52">
        <f t="shared" si="42"/>
        <v>0</v>
      </c>
      <c r="BB63" s="51"/>
      <c r="BC63" s="51"/>
      <c r="BD63" s="52">
        <f t="shared" si="43"/>
        <v>0</v>
      </c>
      <c r="BE63" s="51"/>
      <c r="BF63" s="51"/>
      <c r="BG63" s="52">
        <f t="shared" si="44"/>
        <v>0</v>
      </c>
      <c r="BH63" s="51"/>
      <c r="BI63" s="51"/>
      <c r="BJ63" s="52">
        <f t="shared" si="45"/>
        <v>0</v>
      </c>
      <c r="BK63" s="51"/>
      <c r="BL63" s="51"/>
      <c r="BM63" s="52">
        <f t="shared" si="46"/>
        <v>0</v>
      </c>
      <c r="BN63" s="51"/>
      <c r="BO63" s="51"/>
      <c r="BP63" s="52">
        <f t="shared" si="47"/>
        <v>0</v>
      </c>
      <c r="BQ63" s="51"/>
      <c r="BR63" s="51"/>
      <c r="BS63" s="52">
        <f t="shared" si="48"/>
        <v>0</v>
      </c>
      <c r="BT63" s="51">
        <v>4493</v>
      </c>
      <c r="BU63" s="51"/>
      <c r="BV63" s="52">
        <f t="shared" si="49"/>
        <v>4493</v>
      </c>
      <c r="BW63" s="36">
        <f t="shared" si="23"/>
        <v>0</v>
      </c>
      <c r="BX63" s="36">
        <f t="shared" si="23"/>
        <v>0</v>
      </c>
      <c r="BY63" s="36">
        <f t="shared" si="24"/>
        <v>0</v>
      </c>
      <c r="BZ63" s="36">
        <f t="shared" si="25"/>
        <v>4493</v>
      </c>
      <c r="CA63" s="36">
        <f t="shared" si="25"/>
        <v>0</v>
      </c>
      <c r="CB63" s="36">
        <f t="shared" si="26"/>
        <v>4493</v>
      </c>
    </row>
    <row r="64" spans="1:80" s="44" customFormat="1" ht="12" outlineLevel="1" x14ac:dyDescent="0.2">
      <c r="A64" s="38"/>
      <c r="B64" s="39" t="s">
        <v>84</v>
      </c>
      <c r="C64" s="63"/>
      <c r="D64" s="63"/>
      <c r="E64" s="60">
        <f t="shared" si="22"/>
        <v>0</v>
      </c>
      <c r="F64" s="63"/>
      <c r="G64" s="63"/>
      <c r="H64" s="60">
        <f t="shared" si="28"/>
        <v>0</v>
      </c>
      <c r="I64" s="63"/>
      <c r="J64" s="63"/>
      <c r="K64" s="60">
        <f t="shared" si="29"/>
        <v>0</v>
      </c>
      <c r="L64" s="63"/>
      <c r="M64" s="63"/>
      <c r="N64" s="60">
        <f t="shared" si="50"/>
        <v>0</v>
      </c>
      <c r="O64" s="63"/>
      <c r="P64" s="63"/>
      <c r="Q64" s="60">
        <f t="shared" si="30"/>
        <v>0</v>
      </c>
      <c r="R64" s="63"/>
      <c r="S64" s="63"/>
      <c r="T64" s="60">
        <f t="shared" si="31"/>
        <v>0</v>
      </c>
      <c r="U64" s="63"/>
      <c r="V64" s="63"/>
      <c r="W64" s="60">
        <f t="shared" si="32"/>
        <v>0</v>
      </c>
      <c r="X64" s="63"/>
      <c r="Y64" s="63"/>
      <c r="Z64" s="60">
        <f t="shared" si="33"/>
        <v>0</v>
      </c>
      <c r="AA64" s="63"/>
      <c r="AB64" s="63"/>
      <c r="AC64" s="60">
        <f t="shared" si="34"/>
        <v>0</v>
      </c>
      <c r="AD64" s="63"/>
      <c r="AE64" s="63"/>
      <c r="AF64" s="60">
        <f t="shared" si="35"/>
        <v>0</v>
      </c>
      <c r="AG64" s="63"/>
      <c r="AH64" s="63"/>
      <c r="AI64" s="60">
        <f t="shared" si="36"/>
        <v>0</v>
      </c>
      <c r="AJ64" s="63"/>
      <c r="AK64" s="63"/>
      <c r="AL64" s="60">
        <f t="shared" si="37"/>
        <v>0</v>
      </c>
      <c r="AM64" s="63"/>
      <c r="AN64" s="63"/>
      <c r="AO64" s="60">
        <f t="shared" si="38"/>
        <v>0</v>
      </c>
      <c r="AP64" s="63"/>
      <c r="AQ64" s="63"/>
      <c r="AR64" s="60">
        <f t="shared" si="39"/>
        <v>0</v>
      </c>
      <c r="AS64" s="63"/>
      <c r="AT64" s="63"/>
      <c r="AU64" s="60">
        <f t="shared" si="40"/>
        <v>0</v>
      </c>
      <c r="AV64" s="63"/>
      <c r="AW64" s="63"/>
      <c r="AX64" s="60">
        <f t="shared" si="41"/>
        <v>0</v>
      </c>
      <c r="AY64" s="63"/>
      <c r="AZ64" s="63"/>
      <c r="BA64" s="60">
        <f t="shared" si="42"/>
        <v>0</v>
      </c>
      <c r="BB64" s="63"/>
      <c r="BC64" s="63"/>
      <c r="BD64" s="60">
        <f t="shared" si="43"/>
        <v>0</v>
      </c>
      <c r="BE64" s="63"/>
      <c r="BF64" s="63"/>
      <c r="BG64" s="60">
        <f t="shared" si="44"/>
        <v>0</v>
      </c>
      <c r="BH64" s="63"/>
      <c r="BI64" s="63"/>
      <c r="BJ64" s="60">
        <f t="shared" si="45"/>
        <v>0</v>
      </c>
      <c r="BK64" s="63"/>
      <c r="BL64" s="63"/>
      <c r="BM64" s="60">
        <f t="shared" si="46"/>
        <v>0</v>
      </c>
      <c r="BN64" s="63"/>
      <c r="BO64" s="63"/>
      <c r="BP64" s="60">
        <f t="shared" si="47"/>
        <v>0</v>
      </c>
      <c r="BQ64" s="63"/>
      <c r="BR64" s="63"/>
      <c r="BS64" s="60">
        <f t="shared" si="48"/>
        <v>0</v>
      </c>
      <c r="BT64" s="63"/>
      <c r="BU64" s="63"/>
      <c r="BV64" s="60">
        <f t="shared" si="49"/>
        <v>0</v>
      </c>
      <c r="BW64" s="43">
        <f t="shared" si="23"/>
        <v>0</v>
      </c>
      <c r="BX64" s="43">
        <f t="shared" si="23"/>
        <v>0</v>
      </c>
      <c r="BY64" s="43">
        <f t="shared" si="24"/>
        <v>0</v>
      </c>
      <c r="BZ64" s="43">
        <f t="shared" si="25"/>
        <v>0</v>
      </c>
      <c r="CA64" s="43">
        <f t="shared" si="25"/>
        <v>0</v>
      </c>
      <c r="CB64" s="43">
        <f t="shared" si="26"/>
        <v>0</v>
      </c>
    </row>
    <row r="65" spans="1:80" ht="25.5" outlineLevel="1" x14ac:dyDescent="0.2">
      <c r="A65" s="33">
        <v>224</v>
      </c>
      <c r="B65" s="49" t="s">
        <v>85</v>
      </c>
      <c r="C65" s="51"/>
      <c r="D65" s="51"/>
      <c r="E65" s="52">
        <f t="shared" si="22"/>
        <v>0</v>
      </c>
      <c r="F65" s="51"/>
      <c r="G65" s="51"/>
      <c r="H65" s="52">
        <f t="shared" si="28"/>
        <v>0</v>
      </c>
      <c r="I65" s="51"/>
      <c r="J65" s="51"/>
      <c r="K65" s="52">
        <f t="shared" si="29"/>
        <v>0</v>
      </c>
      <c r="L65" s="51"/>
      <c r="M65" s="51"/>
      <c r="N65" s="52">
        <f t="shared" si="50"/>
        <v>0</v>
      </c>
      <c r="O65" s="51"/>
      <c r="P65" s="51"/>
      <c r="Q65" s="52">
        <f t="shared" si="30"/>
        <v>0</v>
      </c>
      <c r="R65" s="51"/>
      <c r="S65" s="51"/>
      <c r="T65" s="52">
        <f t="shared" si="31"/>
        <v>0</v>
      </c>
      <c r="U65" s="51"/>
      <c r="V65" s="51"/>
      <c r="W65" s="52">
        <f t="shared" si="32"/>
        <v>0</v>
      </c>
      <c r="X65" s="51"/>
      <c r="Y65" s="51"/>
      <c r="Z65" s="52">
        <f t="shared" si="33"/>
        <v>0</v>
      </c>
      <c r="AA65" s="51"/>
      <c r="AB65" s="51"/>
      <c r="AC65" s="52">
        <f t="shared" si="34"/>
        <v>0</v>
      </c>
      <c r="AD65" s="51"/>
      <c r="AE65" s="51"/>
      <c r="AF65" s="52">
        <f t="shared" si="35"/>
        <v>0</v>
      </c>
      <c r="AG65" s="51"/>
      <c r="AH65" s="51"/>
      <c r="AI65" s="52">
        <f t="shared" si="36"/>
        <v>0</v>
      </c>
      <c r="AJ65" s="51"/>
      <c r="AK65" s="51"/>
      <c r="AL65" s="52">
        <f t="shared" si="37"/>
        <v>0</v>
      </c>
      <c r="AM65" s="51"/>
      <c r="AN65" s="51"/>
      <c r="AO65" s="52">
        <f t="shared" si="38"/>
        <v>0</v>
      </c>
      <c r="AP65" s="51"/>
      <c r="AQ65" s="51"/>
      <c r="AR65" s="52">
        <f t="shared" si="39"/>
        <v>0</v>
      </c>
      <c r="AS65" s="51"/>
      <c r="AT65" s="51"/>
      <c r="AU65" s="52">
        <f t="shared" si="40"/>
        <v>0</v>
      </c>
      <c r="AV65" s="51"/>
      <c r="AW65" s="51"/>
      <c r="AX65" s="52">
        <f t="shared" si="41"/>
        <v>0</v>
      </c>
      <c r="AY65" s="51"/>
      <c r="AZ65" s="51"/>
      <c r="BA65" s="52">
        <f t="shared" si="42"/>
        <v>0</v>
      </c>
      <c r="BB65" s="51"/>
      <c r="BC65" s="51"/>
      <c r="BD65" s="52">
        <f t="shared" si="43"/>
        <v>0</v>
      </c>
      <c r="BE65" s="51"/>
      <c r="BF65" s="51"/>
      <c r="BG65" s="52">
        <f t="shared" si="44"/>
        <v>0</v>
      </c>
      <c r="BH65" s="51"/>
      <c r="BI65" s="51"/>
      <c r="BJ65" s="52">
        <f t="shared" si="45"/>
        <v>0</v>
      </c>
      <c r="BK65" s="51"/>
      <c r="BL65" s="51"/>
      <c r="BM65" s="52">
        <f t="shared" si="46"/>
        <v>0</v>
      </c>
      <c r="BN65" s="51"/>
      <c r="BO65" s="51"/>
      <c r="BP65" s="52">
        <f t="shared" si="47"/>
        <v>0</v>
      </c>
      <c r="BQ65" s="51"/>
      <c r="BR65" s="51"/>
      <c r="BS65" s="52">
        <f t="shared" si="48"/>
        <v>0</v>
      </c>
      <c r="BT65" s="51"/>
      <c r="BU65" s="51"/>
      <c r="BV65" s="52">
        <f t="shared" si="49"/>
        <v>0</v>
      </c>
      <c r="BW65" s="36">
        <f t="shared" si="23"/>
        <v>0</v>
      </c>
      <c r="BX65" s="36">
        <f t="shared" si="23"/>
        <v>0</v>
      </c>
      <c r="BY65" s="36">
        <f t="shared" si="24"/>
        <v>0</v>
      </c>
      <c r="BZ65" s="36">
        <f t="shared" si="25"/>
        <v>0</v>
      </c>
      <c r="CA65" s="36">
        <f t="shared" si="25"/>
        <v>0</v>
      </c>
      <c r="CB65" s="36">
        <f t="shared" si="26"/>
        <v>0</v>
      </c>
    </row>
    <row r="66" spans="1:80" outlineLevel="1" x14ac:dyDescent="0.2">
      <c r="A66" s="33">
        <v>321</v>
      </c>
      <c r="B66" s="49" t="s">
        <v>86</v>
      </c>
      <c r="C66" s="51"/>
      <c r="D66" s="51"/>
      <c r="E66" s="52">
        <f t="shared" si="22"/>
        <v>0</v>
      </c>
      <c r="F66" s="51"/>
      <c r="G66" s="51"/>
      <c r="H66" s="52">
        <f t="shared" si="28"/>
        <v>0</v>
      </c>
      <c r="I66" s="51"/>
      <c r="J66" s="51"/>
      <c r="K66" s="52">
        <f t="shared" si="29"/>
        <v>0</v>
      </c>
      <c r="L66" s="51"/>
      <c r="M66" s="51"/>
      <c r="N66" s="52">
        <f t="shared" si="50"/>
        <v>0</v>
      </c>
      <c r="O66" s="51"/>
      <c r="P66" s="51"/>
      <c r="Q66" s="52">
        <f t="shared" si="30"/>
        <v>0</v>
      </c>
      <c r="R66" s="51"/>
      <c r="S66" s="51"/>
      <c r="T66" s="52">
        <f t="shared" si="31"/>
        <v>0</v>
      </c>
      <c r="U66" s="51"/>
      <c r="V66" s="51"/>
      <c r="W66" s="52">
        <f t="shared" si="32"/>
        <v>0</v>
      </c>
      <c r="X66" s="51"/>
      <c r="Y66" s="51"/>
      <c r="Z66" s="52">
        <f t="shared" si="33"/>
        <v>0</v>
      </c>
      <c r="AA66" s="51"/>
      <c r="AB66" s="51"/>
      <c r="AC66" s="52">
        <f t="shared" si="34"/>
        <v>0</v>
      </c>
      <c r="AD66" s="51"/>
      <c r="AE66" s="51"/>
      <c r="AF66" s="52">
        <f t="shared" si="35"/>
        <v>0</v>
      </c>
      <c r="AG66" s="51"/>
      <c r="AH66" s="51"/>
      <c r="AI66" s="52">
        <f t="shared" si="36"/>
        <v>0</v>
      </c>
      <c r="AJ66" s="51"/>
      <c r="AK66" s="51"/>
      <c r="AL66" s="52">
        <f t="shared" si="37"/>
        <v>0</v>
      </c>
      <c r="AM66" s="51"/>
      <c r="AN66" s="51"/>
      <c r="AO66" s="52">
        <f t="shared" si="38"/>
        <v>0</v>
      </c>
      <c r="AP66" s="51"/>
      <c r="AQ66" s="51"/>
      <c r="AR66" s="52">
        <f t="shared" si="39"/>
        <v>0</v>
      </c>
      <c r="AS66" s="51"/>
      <c r="AT66" s="51"/>
      <c r="AU66" s="52">
        <f t="shared" si="40"/>
        <v>0</v>
      </c>
      <c r="AV66" s="51"/>
      <c r="AW66" s="51"/>
      <c r="AX66" s="52">
        <f t="shared" si="41"/>
        <v>0</v>
      </c>
      <c r="AY66" s="51"/>
      <c r="AZ66" s="51"/>
      <c r="BA66" s="52">
        <f t="shared" si="42"/>
        <v>0</v>
      </c>
      <c r="BB66" s="51"/>
      <c r="BC66" s="51"/>
      <c r="BD66" s="52">
        <f t="shared" si="43"/>
        <v>0</v>
      </c>
      <c r="BE66" s="51"/>
      <c r="BF66" s="51"/>
      <c r="BG66" s="52">
        <f t="shared" si="44"/>
        <v>0</v>
      </c>
      <c r="BH66" s="51"/>
      <c r="BI66" s="51"/>
      <c r="BJ66" s="52">
        <f t="shared" si="45"/>
        <v>0</v>
      </c>
      <c r="BK66" s="51"/>
      <c r="BL66" s="51"/>
      <c r="BM66" s="52">
        <f t="shared" si="46"/>
        <v>0</v>
      </c>
      <c r="BN66" s="51"/>
      <c r="BO66" s="51"/>
      <c r="BP66" s="52">
        <f t="shared" si="47"/>
        <v>0</v>
      </c>
      <c r="BQ66" s="51"/>
      <c r="BR66" s="51"/>
      <c r="BS66" s="52">
        <f t="shared" si="48"/>
        <v>0</v>
      </c>
      <c r="BT66" s="51"/>
      <c r="BU66" s="51"/>
      <c r="BV66" s="52">
        <f t="shared" si="49"/>
        <v>0</v>
      </c>
      <c r="BW66" s="36">
        <f t="shared" si="23"/>
        <v>0</v>
      </c>
      <c r="BX66" s="36">
        <f t="shared" si="23"/>
        <v>0</v>
      </c>
      <c r="BY66" s="36">
        <f t="shared" si="24"/>
        <v>0</v>
      </c>
      <c r="BZ66" s="36">
        <f t="shared" si="25"/>
        <v>0</v>
      </c>
      <c r="CA66" s="36">
        <f t="shared" si="25"/>
        <v>0</v>
      </c>
      <c r="CB66" s="36">
        <f t="shared" si="26"/>
        <v>0</v>
      </c>
    </row>
    <row r="67" spans="1:80" s="44" customFormat="1" ht="12" outlineLevel="1" x14ac:dyDescent="0.2">
      <c r="A67" s="38"/>
      <c r="B67" s="39" t="s">
        <v>87</v>
      </c>
      <c r="C67" s="63"/>
      <c r="D67" s="63"/>
      <c r="E67" s="60">
        <f t="shared" si="22"/>
        <v>0</v>
      </c>
      <c r="F67" s="63"/>
      <c r="G67" s="63"/>
      <c r="H67" s="60">
        <f t="shared" si="28"/>
        <v>0</v>
      </c>
      <c r="I67" s="63"/>
      <c r="J67" s="63"/>
      <c r="K67" s="60">
        <f t="shared" si="29"/>
        <v>0</v>
      </c>
      <c r="L67" s="63"/>
      <c r="M67" s="63"/>
      <c r="N67" s="60">
        <f t="shared" si="50"/>
        <v>0</v>
      </c>
      <c r="O67" s="63"/>
      <c r="P67" s="63"/>
      <c r="Q67" s="60">
        <f t="shared" si="30"/>
        <v>0</v>
      </c>
      <c r="R67" s="63"/>
      <c r="S67" s="63"/>
      <c r="T67" s="60">
        <f t="shared" si="31"/>
        <v>0</v>
      </c>
      <c r="U67" s="63"/>
      <c r="V67" s="63"/>
      <c r="W67" s="60">
        <f t="shared" si="32"/>
        <v>0</v>
      </c>
      <c r="X67" s="63"/>
      <c r="Y67" s="63"/>
      <c r="Z67" s="60">
        <f t="shared" si="33"/>
        <v>0</v>
      </c>
      <c r="AA67" s="63"/>
      <c r="AB67" s="63"/>
      <c r="AC67" s="60">
        <f t="shared" si="34"/>
        <v>0</v>
      </c>
      <c r="AD67" s="63"/>
      <c r="AE67" s="63"/>
      <c r="AF67" s="60">
        <f t="shared" si="35"/>
        <v>0</v>
      </c>
      <c r="AG67" s="63"/>
      <c r="AH67" s="63"/>
      <c r="AI67" s="60">
        <f t="shared" si="36"/>
        <v>0</v>
      </c>
      <c r="AJ67" s="63"/>
      <c r="AK67" s="63"/>
      <c r="AL67" s="60">
        <f t="shared" si="37"/>
        <v>0</v>
      </c>
      <c r="AM67" s="63"/>
      <c r="AN67" s="63"/>
      <c r="AO67" s="60">
        <f t="shared" si="38"/>
        <v>0</v>
      </c>
      <c r="AP67" s="63"/>
      <c r="AQ67" s="63"/>
      <c r="AR67" s="60">
        <f t="shared" si="39"/>
        <v>0</v>
      </c>
      <c r="AS67" s="63"/>
      <c r="AT67" s="63"/>
      <c r="AU67" s="60">
        <f t="shared" si="40"/>
        <v>0</v>
      </c>
      <c r="AV67" s="63"/>
      <c r="AW67" s="63"/>
      <c r="AX67" s="60">
        <f t="shared" si="41"/>
        <v>0</v>
      </c>
      <c r="AY67" s="63"/>
      <c r="AZ67" s="63"/>
      <c r="BA67" s="60">
        <f t="shared" si="42"/>
        <v>0</v>
      </c>
      <c r="BB67" s="63"/>
      <c r="BC67" s="63"/>
      <c r="BD67" s="60">
        <f t="shared" si="43"/>
        <v>0</v>
      </c>
      <c r="BE67" s="63"/>
      <c r="BF67" s="63"/>
      <c r="BG67" s="60">
        <f t="shared" si="44"/>
        <v>0</v>
      </c>
      <c r="BH67" s="63"/>
      <c r="BI67" s="63"/>
      <c r="BJ67" s="60">
        <f t="shared" si="45"/>
        <v>0</v>
      </c>
      <c r="BK67" s="63"/>
      <c r="BL67" s="63"/>
      <c r="BM67" s="60">
        <f t="shared" si="46"/>
        <v>0</v>
      </c>
      <c r="BN67" s="63"/>
      <c r="BO67" s="63"/>
      <c r="BP67" s="60">
        <f t="shared" si="47"/>
        <v>0</v>
      </c>
      <c r="BQ67" s="63"/>
      <c r="BR67" s="63"/>
      <c r="BS67" s="60">
        <f t="shared" si="48"/>
        <v>0</v>
      </c>
      <c r="BT67" s="63"/>
      <c r="BU67" s="63"/>
      <c r="BV67" s="60">
        <f t="shared" si="49"/>
        <v>0</v>
      </c>
      <c r="BW67" s="43">
        <f t="shared" si="23"/>
        <v>0</v>
      </c>
      <c r="BX67" s="43">
        <f t="shared" si="23"/>
        <v>0</v>
      </c>
      <c r="BY67" s="43">
        <f t="shared" si="24"/>
        <v>0</v>
      </c>
      <c r="BZ67" s="43">
        <f t="shared" si="25"/>
        <v>0</v>
      </c>
      <c r="CA67" s="43">
        <f t="shared" si="25"/>
        <v>0</v>
      </c>
      <c r="CB67" s="43">
        <f t="shared" si="26"/>
        <v>0</v>
      </c>
    </row>
    <row r="68" spans="1:80" outlineLevel="1" x14ac:dyDescent="0.2">
      <c r="A68" s="33">
        <v>331</v>
      </c>
      <c r="B68" s="49" t="s">
        <v>88</v>
      </c>
      <c r="C68" s="51"/>
      <c r="D68" s="51"/>
      <c r="E68" s="52">
        <f t="shared" si="22"/>
        <v>0</v>
      </c>
      <c r="F68" s="51"/>
      <c r="G68" s="51"/>
      <c r="H68" s="52">
        <f t="shared" si="28"/>
        <v>0</v>
      </c>
      <c r="I68" s="51"/>
      <c r="J68" s="51"/>
      <c r="K68" s="52">
        <f t="shared" si="29"/>
        <v>0</v>
      </c>
      <c r="L68" s="51"/>
      <c r="M68" s="51"/>
      <c r="N68" s="52">
        <f t="shared" si="50"/>
        <v>0</v>
      </c>
      <c r="O68" s="51"/>
      <c r="P68" s="51"/>
      <c r="Q68" s="52">
        <f t="shared" si="30"/>
        <v>0</v>
      </c>
      <c r="R68" s="51"/>
      <c r="S68" s="51"/>
      <c r="T68" s="52">
        <f t="shared" si="31"/>
        <v>0</v>
      </c>
      <c r="U68" s="51"/>
      <c r="V68" s="51"/>
      <c r="W68" s="52">
        <f t="shared" si="32"/>
        <v>0</v>
      </c>
      <c r="X68" s="51"/>
      <c r="Y68" s="51"/>
      <c r="Z68" s="52">
        <f t="shared" si="33"/>
        <v>0</v>
      </c>
      <c r="AA68" s="51"/>
      <c r="AB68" s="51"/>
      <c r="AC68" s="52">
        <f t="shared" si="34"/>
        <v>0</v>
      </c>
      <c r="AD68" s="51"/>
      <c r="AE68" s="51"/>
      <c r="AF68" s="52">
        <f t="shared" si="35"/>
        <v>0</v>
      </c>
      <c r="AG68" s="51"/>
      <c r="AH68" s="51"/>
      <c r="AI68" s="52">
        <f t="shared" si="36"/>
        <v>0</v>
      </c>
      <c r="AJ68" s="51"/>
      <c r="AK68" s="51"/>
      <c r="AL68" s="52">
        <f t="shared" si="37"/>
        <v>0</v>
      </c>
      <c r="AM68" s="51"/>
      <c r="AN68" s="51"/>
      <c r="AO68" s="52">
        <f t="shared" si="38"/>
        <v>0</v>
      </c>
      <c r="AP68" s="51"/>
      <c r="AQ68" s="51"/>
      <c r="AR68" s="52">
        <f t="shared" si="39"/>
        <v>0</v>
      </c>
      <c r="AS68" s="51"/>
      <c r="AT68" s="51"/>
      <c r="AU68" s="52">
        <f t="shared" si="40"/>
        <v>0</v>
      </c>
      <c r="AV68" s="51"/>
      <c r="AW68" s="51"/>
      <c r="AX68" s="52">
        <f t="shared" si="41"/>
        <v>0</v>
      </c>
      <c r="AY68" s="51"/>
      <c r="AZ68" s="51"/>
      <c r="BA68" s="52">
        <f t="shared" si="42"/>
        <v>0</v>
      </c>
      <c r="BB68" s="51"/>
      <c r="BC68" s="51"/>
      <c r="BD68" s="52">
        <f t="shared" si="43"/>
        <v>0</v>
      </c>
      <c r="BE68" s="51"/>
      <c r="BF68" s="51"/>
      <c r="BG68" s="52">
        <f t="shared" si="44"/>
        <v>0</v>
      </c>
      <c r="BH68" s="51"/>
      <c r="BI68" s="51"/>
      <c r="BJ68" s="52">
        <f t="shared" si="45"/>
        <v>0</v>
      </c>
      <c r="BK68" s="51"/>
      <c r="BL68" s="51"/>
      <c r="BM68" s="52">
        <f t="shared" si="46"/>
        <v>0</v>
      </c>
      <c r="BN68" s="51"/>
      <c r="BO68" s="51"/>
      <c r="BP68" s="52">
        <f t="shared" si="47"/>
        <v>0</v>
      </c>
      <c r="BQ68" s="51"/>
      <c r="BR68" s="51"/>
      <c r="BS68" s="52">
        <f t="shared" si="48"/>
        <v>0</v>
      </c>
      <c r="BT68" s="51"/>
      <c r="BU68" s="51"/>
      <c r="BV68" s="52">
        <f t="shared" si="49"/>
        <v>0</v>
      </c>
      <c r="BW68" s="36">
        <f t="shared" si="23"/>
        <v>0</v>
      </c>
      <c r="BX68" s="36">
        <f t="shared" si="23"/>
        <v>0</v>
      </c>
      <c r="BY68" s="36">
        <f t="shared" si="24"/>
        <v>0</v>
      </c>
      <c r="BZ68" s="36">
        <f t="shared" si="25"/>
        <v>0</v>
      </c>
      <c r="CA68" s="36">
        <f t="shared" si="25"/>
        <v>0</v>
      </c>
      <c r="CB68" s="36">
        <f t="shared" si="26"/>
        <v>0</v>
      </c>
    </row>
    <row r="69" spans="1:80" outlineLevel="1" x14ac:dyDescent="0.2">
      <c r="A69" s="33">
        <v>332</v>
      </c>
      <c r="B69" s="49" t="s">
        <v>89</v>
      </c>
      <c r="C69" s="51"/>
      <c r="D69" s="51"/>
      <c r="E69" s="52">
        <f t="shared" si="22"/>
        <v>0</v>
      </c>
      <c r="F69" s="51"/>
      <c r="G69" s="51"/>
      <c r="H69" s="52">
        <f t="shared" si="28"/>
        <v>0</v>
      </c>
      <c r="I69" s="51"/>
      <c r="J69" s="51"/>
      <c r="K69" s="52">
        <f t="shared" si="29"/>
        <v>0</v>
      </c>
      <c r="L69" s="51"/>
      <c r="M69" s="51"/>
      <c r="N69" s="52"/>
      <c r="O69" s="51"/>
      <c r="P69" s="51"/>
      <c r="Q69" s="52">
        <f t="shared" si="30"/>
        <v>0</v>
      </c>
      <c r="R69" s="51"/>
      <c r="S69" s="51"/>
      <c r="T69" s="52">
        <f t="shared" si="31"/>
        <v>0</v>
      </c>
      <c r="U69" s="51"/>
      <c r="V69" s="51"/>
      <c r="W69" s="52">
        <f t="shared" si="32"/>
        <v>0</v>
      </c>
      <c r="X69" s="51"/>
      <c r="Y69" s="51"/>
      <c r="Z69" s="52">
        <f t="shared" si="33"/>
        <v>0</v>
      </c>
      <c r="AA69" s="51"/>
      <c r="AB69" s="51"/>
      <c r="AC69" s="52">
        <f t="shared" si="34"/>
        <v>0</v>
      </c>
      <c r="AD69" s="51"/>
      <c r="AE69" s="51"/>
      <c r="AF69" s="52">
        <f t="shared" si="35"/>
        <v>0</v>
      </c>
      <c r="AG69" s="51"/>
      <c r="AH69" s="51"/>
      <c r="AI69" s="52">
        <f t="shared" si="36"/>
        <v>0</v>
      </c>
      <c r="AJ69" s="51"/>
      <c r="AK69" s="51"/>
      <c r="AL69" s="52">
        <f t="shared" si="37"/>
        <v>0</v>
      </c>
      <c r="AM69" s="51"/>
      <c r="AN69" s="51"/>
      <c r="AO69" s="52">
        <f t="shared" si="38"/>
        <v>0</v>
      </c>
      <c r="AP69" s="51"/>
      <c r="AQ69" s="51"/>
      <c r="AR69" s="52">
        <f t="shared" si="39"/>
        <v>0</v>
      </c>
      <c r="AS69" s="51"/>
      <c r="AT69" s="51"/>
      <c r="AU69" s="52">
        <f t="shared" si="40"/>
        <v>0</v>
      </c>
      <c r="AV69" s="51"/>
      <c r="AW69" s="51"/>
      <c r="AX69" s="52">
        <f t="shared" si="41"/>
        <v>0</v>
      </c>
      <c r="AY69" s="51"/>
      <c r="AZ69" s="51"/>
      <c r="BA69" s="52">
        <f t="shared" si="42"/>
        <v>0</v>
      </c>
      <c r="BB69" s="51"/>
      <c r="BC69" s="51"/>
      <c r="BD69" s="52">
        <f t="shared" si="43"/>
        <v>0</v>
      </c>
      <c r="BE69" s="51"/>
      <c r="BF69" s="51"/>
      <c r="BG69" s="52">
        <f t="shared" si="44"/>
        <v>0</v>
      </c>
      <c r="BH69" s="51"/>
      <c r="BI69" s="51"/>
      <c r="BJ69" s="52">
        <f t="shared" si="45"/>
        <v>0</v>
      </c>
      <c r="BK69" s="51"/>
      <c r="BL69" s="51"/>
      <c r="BM69" s="52">
        <f t="shared" si="46"/>
        <v>0</v>
      </c>
      <c r="BN69" s="51"/>
      <c r="BO69" s="51"/>
      <c r="BP69" s="52">
        <f t="shared" si="47"/>
        <v>0</v>
      </c>
      <c r="BQ69" s="51"/>
      <c r="BR69" s="51"/>
      <c r="BS69" s="52">
        <f t="shared" si="48"/>
        <v>0</v>
      </c>
      <c r="BT69" s="51"/>
      <c r="BU69" s="51"/>
      <c r="BV69" s="52">
        <f t="shared" si="49"/>
        <v>0</v>
      </c>
      <c r="BW69" s="36">
        <f t="shared" si="23"/>
        <v>0</v>
      </c>
      <c r="BX69" s="36">
        <f t="shared" si="23"/>
        <v>0</v>
      </c>
      <c r="BY69" s="36">
        <f t="shared" si="24"/>
        <v>0</v>
      </c>
      <c r="BZ69" s="36">
        <f t="shared" si="25"/>
        <v>0</v>
      </c>
      <c r="CA69" s="36">
        <f t="shared" si="25"/>
        <v>0</v>
      </c>
      <c r="CB69" s="36">
        <f t="shared" si="26"/>
        <v>0</v>
      </c>
    </row>
    <row r="70" spans="1:80" s="57" customFormat="1" x14ac:dyDescent="0.2">
      <c r="A70" s="53"/>
      <c r="B70" s="54" t="s">
        <v>45</v>
      </c>
      <c r="C70" s="55">
        <f>C32+C34+C35+C36+C38+C43+C44+C45+C46+C48+C50+C52+C53+C54+C55+C56+C57+C58+C61+C63+C65+C66+C68+C69</f>
        <v>0</v>
      </c>
      <c r="D70" s="55">
        <f>D32+D34+D36+D38+D43+D44+D45+D46+D48+D50+D52+D53+D54+D55+D56+D57+D58+D61+D63+D65+D66+D68+D69+D35</f>
        <v>0</v>
      </c>
      <c r="E70" s="55">
        <f t="shared" si="22"/>
        <v>0</v>
      </c>
      <c r="F70" s="55">
        <f>F32+F34+F35+F36+F38+F43+F44+F45+F46+F48+F50+F52+F53+F54+F55+F56+F57+F58+F61+F63+F65+F66+F68+F69</f>
        <v>0</v>
      </c>
      <c r="G70" s="55">
        <f>G32+G34+G36+G38+G43+G44+G45+G46+G48+G50+G52+G53+G54+G55+G56+G57+G58+G61+G63+G65+G66+G68+G69+G35</f>
        <v>0</v>
      </c>
      <c r="H70" s="55">
        <f t="shared" si="28"/>
        <v>0</v>
      </c>
      <c r="I70" s="55">
        <f>I32+I34+I35+I36+I38+I43+I44+I45+I46+I48+I50+I52+I53+I54+I55+I56+I57+I58+I61+I63+I65+I66+I68+I69</f>
        <v>0</v>
      </c>
      <c r="J70" s="55">
        <f>J32+J34+J36+J38+J43+J44+J45+J46+J48+J50+J52+J53+J54+J55+J56+J57+J58+J61+J63+J65+J66+J68+J69+J35</f>
        <v>0</v>
      </c>
      <c r="K70" s="55">
        <f t="shared" si="29"/>
        <v>0</v>
      </c>
      <c r="L70" s="55">
        <f>L32+L34+L35+L36+L38+L43+L44+L45+L46+L48+L50+L52+L53+L54+L55+L56+L57+L58+L61+L63+L65+L66+L68+L69</f>
        <v>0</v>
      </c>
      <c r="M70" s="55">
        <f>M32+M34+M36+M38+M43+M44+M45+M46+M48+M50+M52+M53+M54+M55+M56+M57+M58+M61+M63+M65+M66+M68+M69+M35</f>
        <v>0</v>
      </c>
      <c r="N70" s="55">
        <f t="shared" si="50"/>
        <v>0</v>
      </c>
      <c r="O70" s="55">
        <f>O32+O34+O35+O36+O38+O43+O44+O45+O46+O48+O50+O52+O53+O54+O55+O56+O57+O58+O61+O63+O65+O66+O68+O69</f>
        <v>0</v>
      </c>
      <c r="P70" s="55">
        <f>P32+P34+P36+P38+P43+P44+P45+P46+P48+P50+P52+P53+P54+P55+P56+P57+P58+P61+P63+P65+P66+P68+P69+P35</f>
        <v>0</v>
      </c>
      <c r="Q70" s="55">
        <f t="shared" si="30"/>
        <v>0</v>
      </c>
      <c r="R70" s="55">
        <f>R32+R34+R35+R36+R38+R43+R44+R45+R46+R48+R50+R52+R53+R54+R55+R56+R57+R58+R61+R63+R65+R66+R68+R69</f>
        <v>0</v>
      </c>
      <c r="S70" s="55">
        <f>S32+S34+S36+S38+S43+S44+S45+S46+S48+S50+S52+S53+S54+S55+S56+S57+S58+S61+S63+S65+S66+S68+S69+S35</f>
        <v>0</v>
      </c>
      <c r="T70" s="55">
        <f t="shared" si="31"/>
        <v>0</v>
      </c>
      <c r="U70" s="55">
        <f>U32+U34+U35+U36+U38+U43+U44+U45+U46+U48+U50+U52+U53+U54+U55+U56+U57+U58+U61+U63+U65+U66+U68+U69</f>
        <v>0</v>
      </c>
      <c r="V70" s="55">
        <f>V32+V34+V36+V38+V43+V44+V45+V46+V48+V50+V52+V53+V54+V55+V56+V57+V58+V61+V63+V65+V66+V68+V69+V35</f>
        <v>0</v>
      </c>
      <c r="W70" s="55">
        <f t="shared" si="32"/>
        <v>0</v>
      </c>
      <c r="X70" s="55">
        <f>X32+X34+X35+X36+X38+X43+X44+X45+X46+X48+X50+X52+X53+X54+X55+X56+X57+X58+X61+X63+X65+X66+X68+X69</f>
        <v>0</v>
      </c>
      <c r="Y70" s="55">
        <f>Y32+Y34+Y36+Y38+Y43+Y44+Y45+Y46+Y48+Y50+Y52+Y53+Y54+Y55+Y56+Y57+Y58+Y61+Y63+Y65+Y66+Y68+Y69+Y35</f>
        <v>0</v>
      </c>
      <c r="Z70" s="55">
        <f t="shared" si="33"/>
        <v>0</v>
      </c>
      <c r="AA70" s="55">
        <f>AA32+AA34+AA35+AA36+AA38+AA43+AA44+AA45+AA46+AA48+AA50+AA52+AA53+AA54+AA55+AA56+AA57+AA58+AA61+AA63+AA65+AA66+AA68+AA69</f>
        <v>0</v>
      </c>
      <c r="AB70" s="55">
        <f>AB32+AB34+AB36+AB38+AB43+AB44+AB45+AB46+AB48+AB50+AB52+AB53+AB54+AB55+AB56+AB57+AB58+AB61+AB63+AB65+AB66+AB68+AB69+AB35</f>
        <v>0</v>
      </c>
      <c r="AC70" s="55">
        <f t="shared" si="34"/>
        <v>0</v>
      </c>
      <c r="AD70" s="55">
        <f>AD32+AD34+AD35+AD36+AD38+AD43+AD44+AD45+AD46+AD48+AD50+AD52+AD53+AD54+AD55+AD56+AD57+AD58+AD61+AD63+AD65+AD66+AD68+AD69</f>
        <v>0</v>
      </c>
      <c r="AE70" s="55">
        <f>AE32+AE34+AE36+AE38+AE43+AE44+AE45+AE46+AE48+AE50+AE52+AE53+AE54+AE55+AE56+AE57+AE58+AE61+AE63+AE65+AE66+AE68+AE69+AE35</f>
        <v>0</v>
      </c>
      <c r="AF70" s="55">
        <f t="shared" si="35"/>
        <v>0</v>
      </c>
      <c r="AG70" s="55">
        <f>AG32+AG34+AG35+AG36+AG38+AG43+AG44+AG45+AG46+AG48+AG50+AG52+AG53+AG54+AG55+AG56+AG57+AG58+AG61+AG63+AG65+AG66+AG68+AG69</f>
        <v>0</v>
      </c>
      <c r="AH70" s="55">
        <f>AH32+AH34+AH36+AH38+AH43+AH44+AH45+AH46+AH48+AH50+AH52+AH53+AH54+AH55+AH56+AH57+AH58+AH61+AH63+AH65+AH66+AH68+AH69+AH35</f>
        <v>0</v>
      </c>
      <c r="AI70" s="55">
        <f t="shared" si="36"/>
        <v>0</v>
      </c>
      <c r="AJ70" s="55">
        <f>AJ32+AJ34+AJ35+AJ36+AJ38+AJ43+AJ44+AJ45+AJ46+AJ48+AJ50+AJ52+AJ53+AJ54+AJ55+AJ56+AJ57+AJ58+AJ61+AJ63+AJ65+AJ66+AJ68+AJ69</f>
        <v>0</v>
      </c>
      <c r="AK70" s="55">
        <f>AK32+AK34+AK36+AK38+AK43+AK44+AK45+AK46+AK48+AK50+AK52+AK53+AK54+AK55+AK56+AK57+AK58+AK61+AK63+AK65+AK66+AK68+AK69+AK35</f>
        <v>0</v>
      </c>
      <c r="AL70" s="55">
        <f t="shared" si="37"/>
        <v>0</v>
      </c>
      <c r="AM70" s="55">
        <f>AM32+AM34+AM35+AM36+AM38+AM43+AM44+AM45+AM46+AM48+AM50+AM52+AM53+AM54+AM55+AM56+AM57+AM58+AM61+AM63+AM65+AM66+AM68+AM69</f>
        <v>0</v>
      </c>
      <c r="AN70" s="55">
        <f>AN32+AN34+AN36+AN38+AN43+AN44+AN45+AN46+AN48+AN50+AN52+AN53+AN54+AN55+AN56+AN57+AN58+AN61+AN63+AN65+AN66+AN68+AN69+AN35</f>
        <v>0</v>
      </c>
      <c r="AO70" s="55">
        <f t="shared" si="38"/>
        <v>0</v>
      </c>
      <c r="AP70" s="55">
        <f>AP32+AP34+AP35+AP36+AP38+AP43+AP44+AP45+AP46+AP48+AP50+AP52+AP53+AP54+AP55+AP56+AP57+AP58+AP61+AP63+AP65+AP66+AP68+AP69</f>
        <v>0</v>
      </c>
      <c r="AQ70" s="55">
        <f>AQ32+AQ34+AQ36+AQ38+AQ43+AQ44+AQ45+AQ46+AQ48+AQ50+AQ52+AQ53+AQ54+AQ55+AQ56+AQ57+AQ58+AQ61+AQ63+AQ65+AQ66+AQ68+AQ69+AQ35</f>
        <v>2500</v>
      </c>
      <c r="AR70" s="55">
        <f t="shared" si="39"/>
        <v>2500</v>
      </c>
      <c r="AS70" s="55">
        <f>AS32+AS34+AS35+AS36+AS38+AS43+AS44+AS45+AS46+AS48+AS50+AS52+AS53+AS54+AS55+AS56+AS57+AS58+AS61+AS63+AS65+AS66+AS68+AS69</f>
        <v>0</v>
      </c>
      <c r="AT70" s="55">
        <f>AT32+AT34+AT36+AT38+AT43+AT44+AT45+AT46+AT48+AT50+AT52+AT53+AT54+AT55+AT56+AT57+AT58+AT61+AT63+AT65+AT66+AT68+AT69+AT35</f>
        <v>0</v>
      </c>
      <c r="AU70" s="55">
        <f t="shared" si="40"/>
        <v>0</v>
      </c>
      <c r="AV70" s="55">
        <f>AV32+AV34+AV35+AV36+AV38+AV43+AV44+AV45+AV46+AV48+AV50+AV52+AV53+AV54+AV55+AV56+AV57+AV58+AV61+AV63+AV65+AV66+AV68+AV69</f>
        <v>0</v>
      </c>
      <c r="AW70" s="55">
        <f>AW32+AW34+AW36+AW38+AW43+AW44+AW45+AW46+AW48+AW50+AW52+AW53+AW54+AW55+AW56+AW57+AW58+AW61+AW63+AW65+AW66+AW68+AW69+AW35</f>
        <v>32179</v>
      </c>
      <c r="AX70" s="55">
        <f t="shared" si="41"/>
        <v>32179</v>
      </c>
      <c r="AY70" s="55">
        <f>AY32+AY34+AY35+AY36+AY38+AY43+AY44+AY45+AY46+AY48+AY50+AY52+AY53+AY54+AY55+AY56+AY57+AY58+AY61+AY63+AY65+AY66+AY68+AY69</f>
        <v>0</v>
      </c>
      <c r="AZ70" s="55">
        <f>AZ32+AZ34+AZ36+AZ38+AZ43+AZ44+AZ45+AZ46+AZ48+AZ50+AZ52+AZ53+AZ54+AZ55+AZ56+AZ57+AZ58+AZ61+AZ63+AZ65+AZ66+AZ68+AZ69+AZ35</f>
        <v>0</v>
      </c>
      <c r="BA70" s="55">
        <f t="shared" si="42"/>
        <v>0</v>
      </c>
      <c r="BB70" s="55">
        <f>BB32+BB34+BB35+BB36+BB38+BB43+BB44+BB45+BB46+BB48+BB50+BB52+BB53+BB54+BB55+BB56+BB57+BB58+BB61+BB63+BB65+BB66+BB68+BB69</f>
        <v>21711.040000000001</v>
      </c>
      <c r="BC70" s="55">
        <f>BC32+BC34+BC36+BC38+BC43+BC44+BC45+BC46+BC48+BC50+BC52+BC53+BC54+BC55+BC56+BC57+BC58+BC61+BC63+BC65+BC66+BC68+BC69+BC35</f>
        <v>183494</v>
      </c>
      <c r="BD70" s="55">
        <f t="shared" si="43"/>
        <v>205205.04</v>
      </c>
      <c r="BE70" s="55">
        <f>BE32+BE34+BE35+BE36+BE38+BE43+BE44+BE45+BE46+BE48+BE50+BE52+BE53+BE54+BE55+BE56+BE57+BE58+BE61+BE63+BE65+BE66+BE68+BE69</f>
        <v>0</v>
      </c>
      <c r="BF70" s="55">
        <f>BF32+BF34+BF36+BF38+BF43+BF44+BF45+BF46+BF48+BF50+BF52+BF53+BF54+BF55+BF56+BF57+BF58+BF61+BF63+BF65+BF66+BF68+BF69+BF35</f>
        <v>0</v>
      </c>
      <c r="BG70" s="55">
        <f t="shared" si="44"/>
        <v>0</v>
      </c>
      <c r="BH70" s="55">
        <f>BH32+BH34+BH35+BH36+BH38+BH43+BH44+BH45+BH46+BH48+BH50+BH52+BH53+BH54+BH55+BH56+BH57+BH58+BH61+BH63+BH65+BH66+BH68+BH69</f>
        <v>222516.22</v>
      </c>
      <c r="BI70" s="55">
        <f>BI32+BI34+BI36+BI38+BI43+BI44+BI45+BI46+BI48+BI50+BI52+BI53+BI54+BI55+BI56+BI57+BI58+BI61+BI63+BI65+BI66+BI68+BI69+BI35</f>
        <v>171454</v>
      </c>
      <c r="BJ70" s="55">
        <f t="shared" si="45"/>
        <v>393970.22</v>
      </c>
      <c r="BK70" s="55">
        <f>BK32+BK34+BK35+BK36+BK38+BK43+BK44+BK45+BK46+BK48+BK50+BK52+BK53+BK54+BK55+BK56+BK57+BK58+BK61+BK63+BK65+BK66+BK68+BK69</f>
        <v>0</v>
      </c>
      <c r="BL70" s="55">
        <f>BL32+BL34+BL36+BL38+BL43+BL44+BL45+BL46+BL48+BL50+BL52+BL53+BL54+BL55+BL56+BL57+BL58+BL61+BL63+BL65+BL66+BL68+BL69+BL35</f>
        <v>0</v>
      </c>
      <c r="BM70" s="55">
        <f t="shared" si="46"/>
        <v>0</v>
      </c>
      <c r="BN70" s="55">
        <f>BN32+BN34+BN35+BN36+BN38+BN43+BN44+BN45+BN46+BN48+BN50+BN52+BN53+BN54+BN55+BN56+BN57+BN58+BN61+BN63+BN65+BN66+BN68+BN69</f>
        <v>590713.14</v>
      </c>
      <c r="BO70" s="55">
        <f>BO32+BO34+BO36+BO38+BO43+BO44+BO45+BO46+BO48+BO50+BO52+BO53+BO54+BO55+BO56+BO57+BO58+BO61+BO63+BO65+BO66+BO68+BO69+BO35</f>
        <v>171698</v>
      </c>
      <c r="BP70" s="55">
        <f t="shared" si="47"/>
        <v>762411.14</v>
      </c>
      <c r="BQ70" s="55">
        <f>BQ32+BQ34+BQ35+BQ36+BQ38+BQ43+BQ44+BQ45+BQ46+BQ48+BQ50+BQ52+BQ53+BQ54+BQ55+BQ56+BQ57+BQ58+BQ61+BQ63+BQ65+BQ66+BQ68+BQ69</f>
        <v>0</v>
      </c>
      <c r="BR70" s="55">
        <f>BR32+BR34+BR36+BR38+BR43+BR44+BR45+BR46+BR48+BR50+BR52+BR53+BR54+BR55+BR56+BR57+BR58+BR61+BR63+BR65+BR66+BR68+BR69+BR35</f>
        <v>0</v>
      </c>
      <c r="BS70" s="55">
        <f t="shared" si="48"/>
        <v>0</v>
      </c>
      <c r="BT70" s="55">
        <f>BT32+BT34+BT35+BT36+BT38+BT43+BT44+BT45+BT46+BT48+BT50+BT52+BT53+BT54+BT55+BT56+BT57+BT58+BT61+BT63+BT65+BT66+BT68+BT69</f>
        <v>1500805.6500000001</v>
      </c>
      <c r="BU70" s="55">
        <f>BU32+BU34+BU36+BU38+BU43+BU44+BU45+BU46+BU48+BU50+BU52+BU53+BU54+BU55+BU56+BU57+BU58+BU61+BU63+BU65+BU66+BU68+BU69+BU35</f>
        <v>106423</v>
      </c>
      <c r="BV70" s="55">
        <f t="shared" si="49"/>
        <v>1607228.6500000001</v>
      </c>
      <c r="BW70" s="55">
        <f>BW32+BW34+BW35+BW36+BW38+BW43+BW44+BW45+BW46+BW48+BW50+BW52+BW53+BW54+BW55+BW56+BW57+BW58+BW61+BW63+BW65+BW66+BW68+BW69</f>
        <v>0</v>
      </c>
      <c r="BX70" s="55">
        <f>BX32+BX34+BX36+BX38+BX43+BX44+BX45+BX46+BX48+BX50+BX52+BX53+BX54+BX55+BX56+BX57+BX58+BX61+BX63+BX65+BX66+BX68+BX69+BX35</f>
        <v>0</v>
      </c>
      <c r="BY70" s="55">
        <f t="shared" si="24"/>
        <v>0</v>
      </c>
      <c r="BZ70" s="55">
        <f>BZ32+BZ34+BZ35+BZ36+BZ38+BZ43+BZ44+BZ45+BZ46+BZ48+BZ50+BZ52+BZ53+BZ54+BZ55+BZ56+BZ57+BZ58+BZ61+BZ63+BZ65+BZ66+BZ68+BZ69</f>
        <v>2335746.0499999998</v>
      </c>
      <c r="CA70" s="55">
        <f>CA32+CA34+CA36+CA38+CA43+CA44+CA45+CA46+CA48+CA50+CA52+CA53+CA54+CA55+CA56+CA57+CA58+CA61+CA63+CA65+CA66+CA68+CA69+CA35</f>
        <v>667748</v>
      </c>
      <c r="CB70" s="55">
        <f t="shared" si="26"/>
        <v>3003494.05</v>
      </c>
    </row>
    <row r="71" spans="1:80" x14ac:dyDescent="0.2">
      <c r="A71" s="74"/>
      <c r="B71" s="74"/>
      <c r="C71" s="75"/>
      <c r="D71" s="75"/>
      <c r="E71" s="76"/>
      <c r="F71" s="76"/>
      <c r="G71" s="76"/>
      <c r="H71" s="76"/>
      <c r="I71" s="75"/>
      <c r="J71" s="75"/>
      <c r="K71" s="76"/>
      <c r="L71" s="76"/>
      <c r="M71" s="76"/>
      <c r="N71" s="76"/>
      <c r="O71" s="75"/>
      <c r="P71" s="75"/>
      <c r="Q71" s="76"/>
      <c r="R71" s="76"/>
      <c r="S71" s="76"/>
      <c r="T71" s="76"/>
      <c r="U71" s="75"/>
      <c r="V71" s="75"/>
      <c r="W71" s="76"/>
      <c r="X71" s="76"/>
      <c r="Y71" s="76"/>
      <c r="Z71" s="76"/>
      <c r="AA71" s="75"/>
      <c r="AB71" s="75"/>
      <c r="AC71" s="76"/>
      <c r="AD71" s="76"/>
      <c r="AE71" s="76"/>
      <c r="AF71" s="76"/>
      <c r="AG71" s="75"/>
      <c r="AH71" s="75"/>
      <c r="AI71" s="76"/>
      <c r="AJ71" s="76"/>
      <c r="AK71" s="76"/>
      <c r="AL71" s="76"/>
      <c r="AM71" s="75"/>
      <c r="AN71" s="75"/>
      <c r="AO71" s="76"/>
      <c r="AP71" s="76"/>
      <c r="AQ71" s="76"/>
      <c r="AR71" s="76"/>
      <c r="AS71" s="75"/>
      <c r="AT71" s="75"/>
      <c r="AU71" s="76"/>
      <c r="AV71" s="76"/>
      <c r="AW71" s="76"/>
      <c r="AX71" s="76"/>
      <c r="AY71" s="75"/>
      <c r="AZ71" s="75"/>
      <c r="BA71" s="76"/>
      <c r="BB71" s="76"/>
      <c r="BC71" s="76"/>
      <c r="BD71" s="76"/>
      <c r="BE71" s="75"/>
      <c r="BF71" s="75"/>
      <c r="BG71" s="76"/>
      <c r="BH71" s="76"/>
      <c r="BI71" s="76"/>
      <c r="BJ71" s="76"/>
      <c r="BK71" s="75"/>
      <c r="BL71" s="75"/>
      <c r="BM71" s="76"/>
      <c r="BN71" s="76"/>
      <c r="BO71" s="76"/>
      <c r="BP71" s="76"/>
      <c r="BQ71" s="75"/>
      <c r="BR71" s="75"/>
      <c r="BS71" s="76"/>
      <c r="BT71" s="76"/>
      <c r="BU71" s="76"/>
      <c r="BV71" s="76"/>
      <c r="BW71" s="36"/>
      <c r="BX71" s="36"/>
      <c r="BY71" s="36"/>
      <c r="BZ71" s="36"/>
      <c r="CA71" s="36"/>
      <c r="CB71" s="36"/>
    </row>
    <row r="72" spans="1:80" s="80" customFormat="1" ht="15" x14ac:dyDescent="0.2">
      <c r="A72" s="77"/>
      <c r="B72" s="29" t="s">
        <v>90</v>
      </c>
      <c r="C72" s="78">
        <f>C8+C30-C70</f>
        <v>0</v>
      </c>
      <c r="D72" s="78">
        <f>D8+D30-D70</f>
        <v>0</v>
      </c>
      <c r="E72" s="78">
        <f>C72+D72</f>
        <v>0</v>
      </c>
      <c r="F72" s="78">
        <f>F88+F30-F70</f>
        <v>0</v>
      </c>
      <c r="G72" s="78">
        <f>G8+G30-G70</f>
        <v>0</v>
      </c>
      <c r="H72" s="78">
        <f>F72+G72</f>
        <v>0</v>
      </c>
      <c r="I72" s="78">
        <f>I8+I30-I70</f>
        <v>0</v>
      </c>
      <c r="J72" s="78">
        <f>J8+J30-J70</f>
        <v>0</v>
      </c>
      <c r="K72" s="78">
        <f>I72+J72</f>
        <v>0</v>
      </c>
      <c r="L72" s="78">
        <f>L8+L30-L70</f>
        <v>0</v>
      </c>
      <c r="M72" s="78">
        <f>M8+M30-M70</f>
        <v>0</v>
      </c>
      <c r="N72" s="78">
        <f>L72+M72</f>
        <v>0</v>
      </c>
      <c r="O72" s="78">
        <f>O8+O30-O70</f>
        <v>0</v>
      </c>
      <c r="P72" s="78">
        <f>P8+P30-P70</f>
        <v>0</v>
      </c>
      <c r="Q72" s="78">
        <f>O72+P72</f>
        <v>0</v>
      </c>
      <c r="R72" s="78">
        <f>R8+R30-R70</f>
        <v>0</v>
      </c>
      <c r="S72" s="78">
        <f>S8+S30-S70</f>
        <v>0</v>
      </c>
      <c r="T72" s="78">
        <f>R72+S72</f>
        <v>0</v>
      </c>
      <c r="U72" s="78">
        <f>U8+U30-U70</f>
        <v>0</v>
      </c>
      <c r="V72" s="78">
        <f>V8+V30-V70</f>
        <v>0</v>
      </c>
      <c r="W72" s="78">
        <f>U72+V72</f>
        <v>0</v>
      </c>
      <c r="X72" s="78">
        <f>X8+X30-X70</f>
        <v>0</v>
      </c>
      <c r="Y72" s="78">
        <f>Y8+Y30-Y70</f>
        <v>0</v>
      </c>
      <c r="Z72" s="78">
        <f>X72+Y72</f>
        <v>0</v>
      </c>
      <c r="AA72" s="78">
        <f>AA8+AA30-AA70</f>
        <v>0</v>
      </c>
      <c r="AB72" s="78">
        <f>AB8+AB30-AB70</f>
        <v>0</v>
      </c>
      <c r="AC72" s="78">
        <f>AA72+AB72</f>
        <v>0</v>
      </c>
      <c r="AD72" s="78">
        <f>AD8+AD30-AD70</f>
        <v>0</v>
      </c>
      <c r="AE72" s="78">
        <f>AE8+AE30-AE70</f>
        <v>0</v>
      </c>
      <c r="AF72" s="78">
        <f>AD72+AE72</f>
        <v>0</v>
      </c>
      <c r="AG72" s="78">
        <f>AG8+AG30-AG70</f>
        <v>0</v>
      </c>
      <c r="AH72" s="78">
        <f>AH8+AH30-AH70</f>
        <v>0</v>
      </c>
      <c r="AI72" s="78">
        <f>AG72+AH72</f>
        <v>0</v>
      </c>
      <c r="AJ72" s="78">
        <f>AJ8+AJ30-AJ70</f>
        <v>0</v>
      </c>
      <c r="AK72" s="78">
        <f>AK8+AK30-AK70</f>
        <v>0</v>
      </c>
      <c r="AL72" s="78">
        <f>AJ72+AK72</f>
        <v>0</v>
      </c>
      <c r="AM72" s="78">
        <f>AM8+AM30-AM70</f>
        <v>0</v>
      </c>
      <c r="AN72" s="78">
        <f>AN8+AN30-AN70</f>
        <v>0</v>
      </c>
      <c r="AO72" s="78">
        <f>AM72+AN72</f>
        <v>0</v>
      </c>
      <c r="AP72" s="78">
        <f>AP8+AP30-AP70</f>
        <v>0</v>
      </c>
      <c r="AQ72" s="78">
        <f>AQ8+AQ30-AQ70</f>
        <v>0</v>
      </c>
      <c r="AR72" s="78">
        <f>AP72+AQ72</f>
        <v>0</v>
      </c>
      <c r="AS72" s="78">
        <f>AS8+AS30-AS70</f>
        <v>0</v>
      </c>
      <c r="AT72" s="78">
        <f>AT8+AT30-AT70</f>
        <v>0</v>
      </c>
      <c r="AU72" s="78">
        <f>AS72+AT72</f>
        <v>0</v>
      </c>
      <c r="AV72" s="78">
        <f>AV8+AV30-AV70</f>
        <v>0</v>
      </c>
      <c r="AW72" s="78">
        <f>AW8+AW30-AW70</f>
        <v>0</v>
      </c>
      <c r="AX72" s="78">
        <f>AV72+AW72</f>
        <v>0</v>
      </c>
      <c r="AY72" s="78">
        <f>AY8+AY30-AY70</f>
        <v>0</v>
      </c>
      <c r="AZ72" s="78">
        <f>AZ8+AZ30-AZ70</f>
        <v>0</v>
      </c>
      <c r="BA72" s="78">
        <f>AY72+AZ72</f>
        <v>0</v>
      </c>
      <c r="BB72" s="78">
        <f>BB8+BB30-BB70</f>
        <v>288.95999999999913</v>
      </c>
      <c r="BC72" s="78">
        <f>BC8+BC30-BC70</f>
        <v>-317</v>
      </c>
      <c r="BD72" s="78">
        <f>BB72+BC72</f>
        <v>-28.040000000000873</v>
      </c>
      <c r="BE72" s="78">
        <f>BE8+BE30-BE70</f>
        <v>0</v>
      </c>
      <c r="BF72" s="78">
        <f>BF8+BF30-BF70</f>
        <v>0</v>
      </c>
      <c r="BG72" s="78">
        <f>BE72+BF72</f>
        <v>0</v>
      </c>
      <c r="BH72" s="78">
        <f>BH8+BH30-BH70</f>
        <v>1862.7399999999907</v>
      </c>
      <c r="BI72" s="78">
        <f>BI8+BI30-BI70</f>
        <v>0</v>
      </c>
      <c r="BJ72" s="78">
        <f>BH72+BI72</f>
        <v>1862.7399999999907</v>
      </c>
      <c r="BK72" s="78">
        <f>BK8+BK30-BK70</f>
        <v>0</v>
      </c>
      <c r="BL72" s="78">
        <f>BL8+BL30-BL70</f>
        <v>0</v>
      </c>
      <c r="BM72" s="78">
        <f>BK72+BL72</f>
        <v>0</v>
      </c>
      <c r="BN72" s="78">
        <f>BN8+BN30-BN70</f>
        <v>153081.33999999997</v>
      </c>
      <c r="BO72" s="78">
        <f>BO8+BO30-BO70</f>
        <v>21702</v>
      </c>
      <c r="BP72" s="78">
        <f>BN72+BO72</f>
        <v>174783.33999999997</v>
      </c>
      <c r="BQ72" s="78">
        <f>BQ8+BQ30-BQ70</f>
        <v>0</v>
      </c>
      <c r="BR72" s="78">
        <f>BR8+BR30-BR70</f>
        <v>0</v>
      </c>
      <c r="BS72" s="78">
        <f>BQ72+BR72</f>
        <v>0</v>
      </c>
      <c r="BT72" s="78">
        <f>BT8+BT30-BT70</f>
        <v>26870.519999999786</v>
      </c>
      <c r="BU72" s="78">
        <f>BU8+BU30-BU70</f>
        <v>42072</v>
      </c>
      <c r="BV72" s="78">
        <f>BT72+BU72</f>
        <v>68942.519999999786</v>
      </c>
      <c r="BW72" s="79">
        <f>BW8+BW30-BW70</f>
        <v>0</v>
      </c>
      <c r="BX72" s="79">
        <f>BX8+BX30-BX70</f>
        <v>0</v>
      </c>
      <c r="BY72" s="79">
        <f>BW72+BX72</f>
        <v>0</v>
      </c>
      <c r="BZ72" s="79">
        <f>BZ8+BZ30-BZ70</f>
        <v>26870.520000000484</v>
      </c>
      <c r="CA72" s="79">
        <f>CA8+CA30-CA70</f>
        <v>42072</v>
      </c>
      <c r="CB72" s="79">
        <f>BZ72+CA72</f>
        <v>68942.520000000484</v>
      </c>
    </row>
  </sheetData>
  <mergeCells count="52">
    <mergeCell ref="BZ9:CB9"/>
    <mergeCell ref="AS9:AU9"/>
    <mergeCell ref="AV9:AX9"/>
    <mergeCell ref="AY9:BA9"/>
    <mergeCell ref="BB9:BD9"/>
    <mergeCell ref="BE9:BG9"/>
    <mergeCell ref="BH9:BJ9"/>
    <mergeCell ref="BK9:BM9"/>
    <mergeCell ref="BN9:BP9"/>
    <mergeCell ref="BQ9:BS9"/>
    <mergeCell ref="BT9:BV9"/>
    <mergeCell ref="BW9:BY9"/>
    <mergeCell ref="AA9:AC9"/>
    <mergeCell ref="AD9:AF9"/>
    <mergeCell ref="AG9:AI9"/>
    <mergeCell ref="AJ9:AL9"/>
    <mergeCell ref="AM9:AO9"/>
    <mergeCell ref="AP9:AR9"/>
    <mergeCell ref="BW7:BY7"/>
    <mergeCell ref="BZ7:CB7"/>
    <mergeCell ref="C9:E9"/>
    <mergeCell ref="F9:H9"/>
    <mergeCell ref="I9:K9"/>
    <mergeCell ref="L9:N9"/>
    <mergeCell ref="O9:Q9"/>
    <mergeCell ref="R9:T9"/>
    <mergeCell ref="U9:W9"/>
    <mergeCell ref="X9:Z9"/>
    <mergeCell ref="BE7:BG7"/>
    <mergeCell ref="BH7:BJ7"/>
    <mergeCell ref="BK7:BM7"/>
    <mergeCell ref="BN7:BP7"/>
    <mergeCell ref="BQ7:BS7"/>
    <mergeCell ref="BT7:BV7"/>
    <mergeCell ref="AM7:AO7"/>
    <mergeCell ref="AP7:AR7"/>
    <mergeCell ref="AS7:AU7"/>
    <mergeCell ref="AV7:AX7"/>
    <mergeCell ref="AY7:BA7"/>
    <mergeCell ref="BB7:BD7"/>
    <mergeCell ref="AJ7:AL7"/>
    <mergeCell ref="C7:E7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</mergeCells>
  <conditionalFormatting sqref="B5 A1:A1048576 E75:H65536 I82:AL82 C8:D65536 C1:H6 B8:B79 I75:CB76 B81:B65536 E8:CB11 E70:CB74 E12:BS69 BU12:CB69">
    <cfRule type="expression" dxfId="5" priority="5" stopIfTrue="1">
      <formula>ISERROR($C$12:$E$73)=TRUE</formula>
    </cfRule>
  </conditionalFormatting>
  <conditionalFormatting sqref="B5 A1:A1048576 D7 C1:H6 B8:H65536 G7 I8:I72 J7:J72 K8:L72 M7:M72 N8:O72 P7:P72 Q8:R72 S7:S72 T8:U72 V7:V72 W8:X72 Y7:Y72 Z8:AA72 AB7:AB72 AC8:AD72 AE7:AE72 AF8:AG72 AH7:AH72 AI8:AJ72 AK7:AK72 AL8:AM72 AN7:AN72 AO8:AP72 AQ7:AQ72 AR8:AS72 AT7:AT72 AU8:AV72 AW7:AW72 AX8:AY72 AZ7:AZ72 BA8:BB72 BC7:BC72 BD8:BE72 BF7:BF72 BG8:BH72 BJ8:BK72 BL7:BL72 BO7:BO72 BP8:BQ72 BR7:BR72 BV8:BW72 BX7:BX72 BY8:BZ72 CA7:CA72 CB8:CB72 BM8:BN72 BI7:BI72 BU7:BU72 BS8:BT11 BS70:BT72 BS12:BS69">
    <cfRule type="expression" dxfId="4" priority="4" stopIfTrue="1">
      <formula>ISERROR($C$12:$E$69)=TRUE</formula>
    </cfRule>
  </conditionalFormatting>
  <conditionalFormatting sqref="BT12:BT15 BT17:BT69">
    <cfRule type="expression" dxfId="3" priority="3" stopIfTrue="1">
      <formula>ISERROR($C$12:$E$73)=TRUE</formula>
    </cfRule>
  </conditionalFormatting>
  <conditionalFormatting sqref="BT12:BT15 BT17:BT69">
    <cfRule type="expression" dxfId="2" priority="2" stopIfTrue="1">
      <formula>ISERROR($C$12:$E$69)=TRUE</formula>
    </cfRule>
  </conditionalFormatting>
  <conditionalFormatting sqref="BT16">
    <cfRule type="expression" dxfId="1" priority="1" stopIfTrue="1">
      <formula>ISERROR(BT16)=TRUE</formula>
    </cfRule>
  </conditionalFormatting>
  <pageMargins left="0.75" right="0.75" top="0.17" bottom="0.28000000000000003" header="0.5" footer="0.5"/>
  <pageSetup paperSize="9" scale="72" fitToWidth="2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FORMA_3</vt:lpstr>
      <vt:lpstr>FORMA_3!Print_Area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2025-01-02T08:53:51Z</dcterms:created>
  <dcterms:modified xsi:type="dcterms:W3CDTF">2025-02-05T09:17:06Z</dcterms:modified>
</cp:coreProperties>
</file>