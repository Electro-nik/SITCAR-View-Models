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ІП\Соларвест\Файли для ССП 2026\"/>
    </mc:Choice>
  </mc:AlternateContent>
  <xr:revisionPtr revIDLastSave="0" documentId="13_ncr:1_{E42F662F-E013-4DF7-978E-6BB883B508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4" i="1" l="1"/>
  <c r="C22" i="1" l="1"/>
  <c r="C16" i="1" l="1"/>
  <c r="B23" i="1" l="1"/>
  <c r="D24" i="1" l="1"/>
  <c r="E24" i="1" s="1"/>
  <c r="D23" i="1"/>
  <c r="E23" i="1" s="1"/>
  <c r="D22" i="1"/>
  <c r="E22" i="1" s="1"/>
  <c r="C17" i="1" l="1"/>
  <c r="B17" i="1"/>
  <c r="D17" i="1" l="1"/>
  <c r="E17" i="1" s="1"/>
  <c r="D16" i="1"/>
  <c r="E16" i="1" s="1"/>
  <c r="D12" i="1" l="1"/>
  <c r="E12" i="1" s="1"/>
  <c r="D11" i="1"/>
  <c r="E11" i="1" s="1"/>
  <c r="F7" i="1" l="1"/>
  <c r="B7" i="1"/>
  <c r="F8" i="1" l="1"/>
  <c r="B8" i="1"/>
  <c r="D8" i="1" s="1"/>
  <c r="E8" i="1" s="1"/>
  <c r="F6" i="1" l="1"/>
  <c r="B6" i="1"/>
  <c r="D4" i="1" l="1"/>
  <c r="E4" i="1" s="1"/>
  <c r="D5" i="1"/>
  <c r="E5" i="1" s="1"/>
  <c r="D6" i="1"/>
  <c r="E6" i="1" s="1"/>
  <c r="D7" i="1"/>
  <c r="E7" i="1" s="1"/>
  <c r="D3" i="1" l="1"/>
  <c r="E3" i="1" s="1"/>
</calcChain>
</file>

<file path=xl/sharedStrings.xml><?xml version="1.0" encoding="utf-8"?>
<sst xmlns="http://schemas.openxmlformats.org/spreadsheetml/2006/main" count="52" uniqueCount="29">
  <si>
    <t>Об'єкт</t>
  </si>
  <si>
    <t>Дохід, грн. без ПДВ</t>
  </si>
  <si>
    <t>Собівартість, грн. без ПДВ</t>
  </si>
  <si>
    <t>Прибуток, грн. без ПДВ</t>
  </si>
  <si>
    <t>Ст. Вижва (Супрунюк)</t>
  </si>
  <si>
    <t>Ст. Вижва (СПАР)</t>
  </si>
  <si>
    <t>Колки (Стасюк)</t>
  </si>
  <si>
    <t>Сосниця (Бондаренко)</t>
  </si>
  <si>
    <t>Любешів (СПАР)</t>
  </si>
  <si>
    <t>Шацьк (СПАР)</t>
  </si>
  <si>
    <t>ПДВ до сплати, грн.</t>
  </si>
  <si>
    <t>ПДВ до відшкодування, грн.</t>
  </si>
  <si>
    <t>% націнки</t>
  </si>
  <si>
    <t>Торчин (Гаврилов)</t>
  </si>
  <si>
    <t>Куликівка (Бондаренко)</t>
  </si>
  <si>
    <t>Гульцев (хата)</t>
  </si>
  <si>
    <t>Ковель, Грушевського (СПАР)</t>
  </si>
  <si>
    <t>СЕС</t>
  </si>
  <si>
    <t>Ремонти</t>
  </si>
  <si>
    <t>АС</t>
  </si>
  <si>
    <t>ЄвроСПАР</t>
  </si>
  <si>
    <t>Млинів</t>
  </si>
  <si>
    <t>Славута</t>
  </si>
  <si>
    <t>Славута (?)</t>
  </si>
  <si>
    <t>Ковель, П.Могили (СПАР)</t>
  </si>
  <si>
    <t>Жиричі (Венцко)</t>
  </si>
  <si>
    <t>Дорошенко (хата)</t>
  </si>
  <si>
    <t>Маневичі</t>
  </si>
  <si>
    <t>Савін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</si>
</sst>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 applyBorder="1"/>
    <xf numFmtId="17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7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A17" sqref="A17"/>
    </sheetView>
  </sheetViews>
  <sheetFormatPr defaultRowHeight="15" x14ac:dyDescent="0.25"/>
  <cols>
    <col min="1" max="1" width="28.42578125" bestFit="1" customWidth="1"/>
    <col min="2" max="2" width="19.140625" bestFit="1" customWidth="1"/>
    <col min="3" max="3" width="25.140625" bestFit="1" customWidth="1"/>
    <col min="4" max="4" width="22.5703125" bestFit="1" customWidth="1"/>
    <col min="5" max="5" width="10.140625" bestFit="1" customWidth="1"/>
    <col min="6" max="6" width="19.140625" hidden="1" customWidth="1"/>
    <col min="7" max="7" width="27.42578125" hidden="1" customWidth="1"/>
  </cols>
  <sheetData>
    <row r="1" spans="1:7" x14ac:dyDescent="0.25">
      <c r="A1" s="12">
        <v>45809</v>
      </c>
      <c r="B1" s="13"/>
      <c r="C1" s="13"/>
      <c r="D1" s="13"/>
      <c r="E1" s="13"/>
      <c r="F1" s="13"/>
      <c r="G1" s="13"/>
    </row>
    <row r="2" spans="1: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12</v>
      </c>
      <c r="F2" s="2" t="s">
        <v>10</v>
      </c>
      <c r="G2" s="2" t="s">
        <v>11</v>
      </c>
    </row>
    <row r="3" spans="1:7" x14ac:dyDescent="0.25">
      <c r="A3" s="1" t="s">
        <v>6</v>
      </c>
      <c r="B3" s="3">
        <v>497499</v>
      </c>
      <c r="C3" s="3">
        <v>386873.96256666671</v>
      </c>
      <c r="D3" s="4">
        <f>B3-C3</f>
        <v>110625.03743333329</v>
      </c>
      <c r="E3" s="5">
        <f>D3/B3</f>
        <v>0.22236233124756691</v>
      </c>
      <c r="F3" s="3">
        <v>0</v>
      </c>
      <c r="G3" s="3">
        <v>26806.61</v>
      </c>
    </row>
    <row r="4" spans="1:7" x14ac:dyDescent="0.25">
      <c r="A4" s="1" t="s">
        <v>7</v>
      </c>
      <c r="B4" s="3">
        <v>562085</v>
      </c>
      <c r="C4" s="3">
        <v>394181.04333333333</v>
      </c>
      <c r="D4" s="4">
        <f t="shared" ref="D4:D7" si="0">B4-C4</f>
        <v>167903.95666666667</v>
      </c>
      <c r="E4" s="5">
        <f t="shared" ref="E4:E7" si="1">D4/B4</f>
        <v>0.2987163092177636</v>
      </c>
      <c r="F4" s="3">
        <v>0</v>
      </c>
      <c r="G4" s="3">
        <v>21266.94</v>
      </c>
    </row>
    <row r="5" spans="1:7" x14ac:dyDescent="0.25">
      <c r="A5" s="1" t="s">
        <v>4</v>
      </c>
      <c r="B5" s="3">
        <v>596962</v>
      </c>
      <c r="C5" s="3">
        <v>408477</v>
      </c>
      <c r="D5" s="4">
        <f t="shared" si="0"/>
        <v>188485</v>
      </c>
      <c r="E5" s="5">
        <f t="shared" si="1"/>
        <v>0.31574036538339123</v>
      </c>
      <c r="F5" s="3">
        <v>0</v>
      </c>
      <c r="G5" s="3">
        <v>30717.69</v>
      </c>
    </row>
    <row r="6" spans="1:7" x14ac:dyDescent="0.25">
      <c r="A6" s="1" t="s">
        <v>5</v>
      </c>
      <c r="B6" s="3">
        <f>676672/1.2</f>
        <v>563893.33333333337</v>
      </c>
      <c r="C6" s="3">
        <v>497905.43762727268</v>
      </c>
      <c r="D6" s="4">
        <f t="shared" si="0"/>
        <v>65987.895706060692</v>
      </c>
      <c r="E6" s="5">
        <f t="shared" si="1"/>
        <v>0.11702194689195478</v>
      </c>
      <c r="F6" s="3">
        <f>112778.66-36272.2</f>
        <v>76506.460000000006</v>
      </c>
      <c r="G6" s="3">
        <v>0</v>
      </c>
    </row>
    <row r="7" spans="1:7" x14ac:dyDescent="0.25">
      <c r="A7" s="1" t="s">
        <v>9</v>
      </c>
      <c r="B7" s="3">
        <f>1645528.91/1.2</f>
        <v>1371274.0916666666</v>
      </c>
      <c r="C7" s="3">
        <v>1166281.8961666666</v>
      </c>
      <c r="D7" s="4">
        <f t="shared" si="0"/>
        <v>204992.19549999991</v>
      </c>
      <c r="E7" s="5">
        <f t="shared" si="1"/>
        <v>0.1494903146976615</v>
      </c>
      <c r="F7" s="3">
        <f>274254.82-37910.87-33814.86-35171.67</f>
        <v>167357.42000000004</v>
      </c>
      <c r="G7" s="3">
        <v>0</v>
      </c>
    </row>
    <row r="8" spans="1:7" x14ac:dyDescent="0.25">
      <c r="A8" s="1" t="s">
        <v>8</v>
      </c>
      <c r="B8" s="3">
        <f>555614/1.2</f>
        <v>463011.66666666669</v>
      </c>
      <c r="C8" s="3">
        <v>341892.62466666667</v>
      </c>
      <c r="D8" s="4">
        <f t="shared" ref="D8" si="2">B8-C8</f>
        <v>121119.04200000002</v>
      </c>
      <c r="E8" s="5">
        <f t="shared" ref="E8" si="3">D8/B8</f>
        <v>0.26158961149287097</v>
      </c>
      <c r="F8" s="3">
        <f>92602.33-27528.13</f>
        <v>65074.2</v>
      </c>
      <c r="G8" s="3">
        <v>0</v>
      </c>
    </row>
    <row r="9" spans="1:7" x14ac:dyDescent="0.25">
      <c r="A9" s="12">
        <v>45839</v>
      </c>
      <c r="B9" s="13"/>
      <c r="C9" s="13"/>
      <c r="D9" s="13"/>
      <c r="E9" s="13"/>
      <c r="F9" s="13"/>
      <c r="G9" s="13"/>
    </row>
    <row r="10" spans="1:7" x14ac:dyDescent="0.25">
      <c r="A10" s="2" t="s">
        <v>0</v>
      </c>
      <c r="B10" s="2" t="s">
        <v>1</v>
      </c>
      <c r="C10" s="2" t="s">
        <v>2</v>
      </c>
      <c r="D10" s="2" t="s">
        <v>3</v>
      </c>
      <c r="E10" s="2" t="s">
        <v>12</v>
      </c>
      <c r="F10" s="2" t="s">
        <v>10</v>
      </c>
      <c r="G10" s="2" t="s">
        <v>11</v>
      </c>
    </row>
    <row r="11" spans="1:7" x14ac:dyDescent="0.25">
      <c r="A11" s="1" t="s">
        <v>13</v>
      </c>
      <c r="B11" s="6">
        <v>243396</v>
      </c>
      <c r="C11" s="6">
        <v>192579</v>
      </c>
      <c r="D11" s="7">
        <f>B11-C11</f>
        <v>50817</v>
      </c>
      <c r="E11" s="5">
        <f>D11/B11</f>
        <v>0.20878321747276044</v>
      </c>
      <c r="F11" s="3">
        <v>0</v>
      </c>
      <c r="G11" s="6">
        <v>0</v>
      </c>
    </row>
    <row r="12" spans="1:7" x14ac:dyDescent="0.25">
      <c r="A12" s="1" t="s">
        <v>14</v>
      </c>
      <c r="B12" s="6">
        <v>853025</v>
      </c>
      <c r="C12" s="6">
        <v>615436.16</v>
      </c>
      <c r="D12" s="7">
        <f t="shared" ref="D12" si="4">B12-C12</f>
        <v>237588.83999999997</v>
      </c>
      <c r="E12" s="5">
        <f t="shared" ref="E12" si="5">D12/B12</f>
        <v>0.27852506081298906</v>
      </c>
      <c r="F12" s="3">
        <v>0</v>
      </c>
      <c r="G12" s="6">
        <v>0</v>
      </c>
    </row>
    <row r="13" spans="1:7" x14ac:dyDescent="0.25">
      <c r="A13" s="1"/>
      <c r="B13" s="6"/>
      <c r="C13" s="6"/>
      <c r="D13" s="7"/>
      <c r="E13" s="5"/>
      <c r="F13" s="3"/>
      <c r="G13" s="6"/>
    </row>
    <row r="14" spans="1:7" x14ac:dyDescent="0.25">
      <c r="A14" s="10">
        <v>45870</v>
      </c>
      <c r="B14" s="11"/>
      <c r="C14" s="11"/>
      <c r="D14" s="11"/>
      <c r="E14" s="11"/>
      <c r="F14" s="11"/>
      <c r="G14" s="11"/>
    </row>
    <row r="15" spans="1:7" x14ac:dyDescent="0.25">
      <c r="A15" s="2" t="s">
        <v>0</v>
      </c>
      <c r="B15" s="2" t="s">
        <v>1</v>
      </c>
      <c r="C15" s="2" t="s">
        <v>2</v>
      </c>
      <c r="D15" s="2" t="s">
        <v>3</v>
      </c>
      <c r="E15" s="2" t="s">
        <v>12</v>
      </c>
      <c r="F15" s="2" t="s">
        <v>10</v>
      </c>
      <c r="G15" s="2" t="s">
        <v>11</v>
      </c>
    </row>
    <row r="16" spans="1:7" x14ac:dyDescent="0.25">
      <c r="A16" s="1" t="s">
        <v>15</v>
      </c>
      <c r="B16" s="6">
        <v>42142</v>
      </c>
      <c r="C16" s="6">
        <f>4943+23336+10400</f>
        <v>38679</v>
      </c>
      <c r="D16" s="7">
        <f>B16-C16</f>
        <v>3463</v>
      </c>
      <c r="E16" s="5">
        <f>D16/B16</f>
        <v>8.2174552702766843E-2</v>
      </c>
      <c r="F16" s="3">
        <v>0</v>
      </c>
      <c r="G16" s="6">
        <v>0</v>
      </c>
    </row>
    <row r="17" spans="1:7" x14ac:dyDescent="0.25">
      <c r="A17" s="1" t="s">
        <v>16</v>
      </c>
      <c r="B17" s="6">
        <f>664264.17+140751.61</f>
        <v>805015.78</v>
      </c>
      <c r="C17" s="6">
        <f>234145.18+245028+96606+17528.72+113601.88+10545.45+2850</f>
        <v>720305.22999999986</v>
      </c>
      <c r="D17" s="7">
        <f t="shared" ref="D17" si="6">B17-C17</f>
        <v>84710.550000000163</v>
      </c>
      <c r="E17" s="5">
        <f t="shared" ref="E17" si="7">D17/B17</f>
        <v>0.10522843415566359</v>
      </c>
      <c r="F17" s="1"/>
      <c r="G17" s="1"/>
    </row>
    <row r="18" spans="1:7" x14ac:dyDescent="0.25">
      <c r="A18" s="1"/>
      <c r="B18" s="6"/>
      <c r="C18" s="6"/>
      <c r="D18" s="7"/>
      <c r="E18" s="5"/>
      <c r="F18" s="1"/>
      <c r="G18" s="1"/>
    </row>
    <row r="19" spans="1:7" x14ac:dyDescent="0.25">
      <c r="A19" s="1"/>
      <c r="B19" s="6"/>
      <c r="C19" s="6"/>
      <c r="D19" s="7"/>
      <c r="E19" s="5"/>
      <c r="F19" s="1"/>
      <c r="G19" s="1"/>
    </row>
    <row r="20" spans="1:7" x14ac:dyDescent="0.25">
      <c r="A20" s="10">
        <v>45901</v>
      </c>
      <c r="B20" s="11"/>
      <c r="C20" s="11"/>
      <c r="D20" s="11"/>
      <c r="E20" s="11"/>
      <c r="F20" s="11"/>
      <c r="G20" s="11"/>
    </row>
    <row r="21" spans="1:7" x14ac:dyDescent="0.25">
      <c r="A21" s="2" t="s">
        <v>0</v>
      </c>
      <c r="B21" s="2" t="s">
        <v>1</v>
      </c>
      <c r="C21" s="2" t="s">
        <v>2</v>
      </c>
      <c r="D21" s="2" t="s">
        <v>3</v>
      </c>
      <c r="E21" s="2" t="s">
        <v>12</v>
      </c>
      <c r="F21" s="2" t="s">
        <v>10</v>
      </c>
      <c r="G21" s="2" t="s">
        <v>11</v>
      </c>
    </row>
    <row r="22" spans="1:7" x14ac:dyDescent="0.25">
      <c r="A22" s="1" t="s">
        <v>26</v>
      </c>
      <c r="B22" s="6">
        <v>78853</v>
      </c>
      <c r="C22" s="6">
        <f>31870+13600+20307.55</f>
        <v>65777.55</v>
      </c>
      <c r="D22" s="7">
        <f>B22-C22</f>
        <v>13075.449999999997</v>
      </c>
      <c r="E22" s="5">
        <f>D22/B22</f>
        <v>0.16582057753034124</v>
      </c>
      <c r="F22" s="3">
        <v>0</v>
      </c>
      <c r="G22" s="6">
        <v>0</v>
      </c>
    </row>
    <row r="23" spans="1:7" x14ac:dyDescent="0.25">
      <c r="A23" s="1" t="s">
        <v>24</v>
      </c>
      <c r="B23" s="6">
        <f>802860/1.2</f>
        <v>669050</v>
      </c>
      <c r="C23" s="6">
        <f>246805/1.2+31453+22538.24+305952/1.2</f>
        <v>514622.07333333336</v>
      </c>
      <c r="D23" s="7">
        <f t="shared" ref="D23" si="8">B23-C23</f>
        <v>154427.92666666664</v>
      </c>
      <c r="E23" s="5">
        <f t="shared" ref="E23" si="9">D23/B23</f>
        <v>0.23081672022519489</v>
      </c>
      <c r="F23" s="1"/>
      <c r="G23" s="1"/>
    </row>
    <row r="24" spans="1:7" x14ac:dyDescent="0.25">
      <c r="A24" s="1" t="s">
        <v>25</v>
      </c>
      <c r="B24" s="6">
        <v>316200</v>
      </c>
      <c r="C24" s="6">
        <f>102002.3/1.2+92960+24308+10969.36</f>
        <v>213239.27666666667</v>
      </c>
      <c r="D24" s="7">
        <f t="shared" ref="D24" si="10">B24-C24</f>
        <v>102960.72333333333</v>
      </c>
      <c r="E24" s="5">
        <f t="shared" ref="E24" si="11">D24/B24</f>
        <v>0.32561898587391946</v>
      </c>
      <c r="F24" s="1"/>
      <c r="G24" s="1"/>
    </row>
    <row r="25" spans="1:7" x14ac:dyDescent="0.25">
      <c r="F25" s="9"/>
      <c r="G25" s="9"/>
    </row>
    <row r="26" spans="1:7" x14ac:dyDescent="0.25">
      <c r="F26" s="9"/>
      <c r="G26" s="9"/>
    </row>
    <row r="27" spans="1:7" x14ac:dyDescent="0.25">
      <c r="F27" s="9"/>
      <c r="G27" s="9"/>
    </row>
    <row r="28" spans="1:7" x14ac:dyDescent="0.25">
      <c r="F28" s="9"/>
      <c r="G28" s="9"/>
    </row>
    <row r="31" spans="1:7" x14ac:dyDescent="0.25">
      <c r="A31" s="8" t="s">
        <v>18</v>
      </c>
      <c r="B31" s="8" t="s">
        <v>17</v>
      </c>
      <c r="C31" s="8"/>
    </row>
    <row r="32" spans="1:7" x14ac:dyDescent="0.25">
      <c r="A32" t="s">
        <v>4</v>
      </c>
      <c r="B32" t="s">
        <v>19</v>
      </c>
    </row>
    <row r="33" spans="1:2" x14ac:dyDescent="0.25">
      <c r="A33" t="s">
        <v>20</v>
      </c>
      <c r="B33" t="s">
        <v>20</v>
      </c>
    </row>
    <row r="34" spans="1:2" x14ac:dyDescent="0.25">
      <c r="A34" t="s">
        <v>22</v>
      </c>
      <c r="B34" t="s">
        <v>23</v>
      </c>
    </row>
    <row r="35" spans="1:2" x14ac:dyDescent="0.25">
      <c r="B35" t="s">
        <v>21</v>
      </c>
    </row>
    <row r="36" spans="1:2" x14ac:dyDescent="0.25">
      <c r="B36" t="s">
        <v>27</v>
      </c>
    </row>
    <row r="37" spans="1:2" x14ac:dyDescent="0.25">
      <c r="B37" t="s">
        <v>28</v>
      </c>
    </row>
  </sheetData>
  <mergeCells count="4">
    <mergeCell ref="A20:G20"/>
    <mergeCell ref="A1:G1"/>
    <mergeCell ref="A9:G9"/>
    <mergeCell ref="A14:G1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Петро Кульпач</cp:lastModifiedBy>
  <dcterms:created xsi:type="dcterms:W3CDTF">2025-08-05T05:37:53Z</dcterms:created>
  <dcterms:modified xsi:type="dcterms:W3CDTF">2025-11-18T09:46:57Z</dcterms:modified>
</cp:coreProperties>
</file>